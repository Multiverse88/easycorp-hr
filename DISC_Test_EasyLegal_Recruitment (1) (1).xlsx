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etunjuk" sheetId="1" state="visible" r:id="rId3"/>
    <sheet name="📝 DISC Test" sheetId="2" state="visible" r:id="rId4"/>
    <sheet name="📊 Hasil &amp; Analisa" sheetId="3" state="visible" r:id="rId5"/>
    <sheet name="🎯 Panduan Rekrutmen" sheetId="4" state="visible" r:id="rId6"/>
    <sheet name="📥 Input Skor GForm" sheetId="5" state="visible" r:id="rId7"/>
    <sheet name="📊 Analisa Batch Kandidat" sheetId="6" state="visible" r:id="rId8"/>
    <sheet name="📖 Interpretasi Sko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<sst xmlns="http://schemas.openxmlformats.org/spreadsheetml/2006/main" count="535" uniqueCount="348">
  <si>
    <t xml:space="preserve">DISC PERSONALITY TEST</t>
  </si>
  <si>
    <t xml:space="preserve">Easy Legal — Assessment Rekrutmen 2024</t>
  </si>
  <si>
    <t xml:space="preserve">DATA KANDIDAT</t>
  </si>
  <si>
    <t xml:space="preserve">  Nama Kandidat  :  ______________________________________</t>
  </si>
  <si>
    <t xml:space="preserve">  Posisi yang Dilamar  :  ______________________________________</t>
  </si>
  <si>
    <t xml:space="preserve">  Tanggal  :  ______________________________________</t>
  </si>
  <si>
    <t xml:space="preserve">  Penilai / HR  :  ______________________________________</t>
  </si>
  <si>
    <t xml:space="preserve">PETUNJUK PENGISIAN</t>
  </si>
  <si>
    <t xml:space="preserve">1.  Tes ini terdiri dari 28 kelompok kata sifat (4 kata per kelompok).</t>
  </si>
  <si>
    <t xml:space="preserve">2.  Di setiap kelompok, pilih 1 kata yang PALING menggambarkan Anda (kolom M = Most).</t>
  </si>
  <si>
    <t xml:space="preserve">3.  Di setiap kelompok, pilih 1 kata yang PALING TIDAK menggambarkan Anda (kolom L = Least).</t>
  </si>
  <si>
    <t xml:space="preserve">4.  Setiap kelompok harus memiliki tepat 1 jawaban M dan 1 jawaban L.</t>
  </si>
  <si>
    <t xml:space="preserve">5.  Jawaban M dan L tidak boleh pada kata yang sama.</t>
  </si>
  <si>
    <t xml:space="preserve">6.  Tidak ada jawaban benar atau salah — jawab dengan jujur dan spontan.</t>
  </si>
  <si>
    <t xml:space="preserve">7.  Waktu pengerjaan: ± 15-20 menit.</t>
  </si>
  <si>
    <t xml:space="preserve">8.  Isi kolom M dan L di sheet '📝 DISC Test' dengan huruf X.</t>
  </si>
  <si>
    <t xml:space="preserve">9.  Hasil otomatis muncul di sheet '📊 Hasil &amp; Analisa'.</t>
  </si>
  <si>
    <t xml:space="preserve">PENJELASAN DIMENSI DISC</t>
  </si>
  <si>
    <t xml:space="preserve">D - DOMINANCE
Cara seseorang merespons masalah &amp; tantangan. Tinggi D: tegas, kompetitif, langsung, berani mengambil keputusan.</t>
  </si>
  <si>
    <t xml:space="preserve">I - INFLUENCE
Cara seseorang mempengaruhi orang lain. Tinggi I: antusias, persuasif, komunikatif, optimis, suka bersosialisasi.</t>
  </si>
  <si>
    <t xml:space="preserve">S - STEADINESS
Cara seseorang merespons lingkungan &amp; ritme kerja. Tinggi S: sabar, konsisten, loyal, team player, stabil.</t>
  </si>
  <si>
    <t xml:space="preserve">C - CONSCIENTIOUSNESS
Cara seseorang merespons aturan &amp; prosedur. Tinggi C: analitis, akurat, sistematis, perfeksionis, berbasis data.</t>
  </si>
  <si>
    <t xml:space="preserve">PROFIL IDEAL PER POSISI — EASY LEGAL</t>
  </si>
  <si>
    <t xml:space="preserve">✦  Legal Officer (LO)
   C tinggi (≥40%), D sedang (20-30%). Detail, akurat, sistematis, mampu handle banyak project sekaligus.</t>
  </si>
  <si>
    <t xml:space="preserve">✦  Customer Care / CRM
   I tinggi (≥35%), S sedang (25-35%). Komunikatif, empati, sabar handle komplain, relationship builder.</t>
  </si>
  <si>
    <t xml:space="preserve">✦  PLA (Pre-closing Lead Agent)
   D tinggi (≥35%), I tinggi (≥30%). Agresif closing, persuasif, target-oriented, fast decision maker.</t>
  </si>
  <si>
    <t xml:space="preserve">✦  Marketing
   I tertinggi (≥40%), D sedang (≥25%). Kreatif, antusias, kemampuan storytelling &amp; brand building kuat.</t>
  </si>
  <si>
    <t xml:space="preserve">→ Lanjut ke sheet '📝 DISC Test' untuk mengisi jawaban</t>
  </si>
  <si>
    <t xml:space="preserve">DISC TEST — EASY LEGAL RECRUITMENT</t>
  </si>
  <si>
    <t xml:space="preserve">Tandai kolom M (Most) = paling menggambarkan Anda  |  Tandai kolom L (Least) = paling tidak menggambarkan Anda  |  Isi dengan huruf  X</t>
  </si>
  <si>
    <t xml:space="preserve">No</t>
  </si>
  <si>
    <t xml:space="preserve">Kata Sifat</t>
  </si>
  <si>
    <t xml:space="preserve">M
(Paling
Sesuai)</t>
  </si>
  <si>
    <t xml:space="preserve">L
(Paling Tidak
Sesuai)</t>
  </si>
  <si>
    <t xml:space="preserve">Tipe</t>
  </si>
  <si>
    <t xml:space="preserve">1.1</t>
  </si>
  <si>
    <t xml:space="preserve">Kuat</t>
  </si>
  <si>
    <t xml:space="preserve">D</t>
  </si>
  <si>
    <t xml:space="preserve">15.1</t>
  </si>
  <si>
    <t xml:space="preserve">Keras</t>
  </si>
  <si>
    <t xml:space="preserve">Menyenangkan</t>
  </si>
  <si>
    <t xml:space="preserve">I</t>
  </si>
  <si>
    <t xml:space="preserve">Ceria</t>
  </si>
  <si>
    <t xml:space="preserve">Setia</t>
  </si>
  <si>
    <t xml:space="preserve">S</t>
  </si>
  <si>
    <t xml:space="preserve">Toleran</t>
  </si>
  <si>
    <t xml:space="preserve">Tepat</t>
  </si>
  <si>
    <t xml:space="preserve">C</t>
  </si>
  <si>
    <t xml:space="preserve">Disiplin</t>
  </si>
  <si>
    <t xml:space="preserve">2.1</t>
  </si>
  <si>
    <t xml:space="preserve">Berani</t>
  </si>
  <si>
    <t xml:space="preserve">16.1</t>
  </si>
  <si>
    <t xml:space="preserve">Penuh Tekad</t>
  </si>
  <si>
    <t xml:space="preserve">Antusias</t>
  </si>
  <si>
    <t xml:space="preserve">Spontan</t>
  </si>
  <si>
    <t xml:space="preserve">Tenang</t>
  </si>
  <si>
    <t xml:space="preserve">Pendengar</t>
  </si>
  <si>
    <t xml:space="preserve">Teliti</t>
  </si>
  <si>
    <t xml:space="preserve">Teratur</t>
  </si>
  <si>
    <t xml:space="preserve">3.1</t>
  </si>
  <si>
    <t xml:space="preserve">Dominan</t>
  </si>
  <si>
    <t xml:space="preserve">17.1</t>
  </si>
  <si>
    <t xml:space="preserve">Agresif</t>
  </si>
  <si>
    <t xml:space="preserve">Berpengaruh</t>
  </si>
  <si>
    <t xml:space="preserve">Terbuka</t>
  </si>
  <si>
    <t xml:space="preserve">Sabar</t>
  </si>
  <si>
    <t xml:space="preserve">Lembut</t>
  </si>
  <si>
    <t xml:space="preserve">Hati-hati</t>
  </si>
  <si>
    <t xml:space="preserve">Cermat</t>
  </si>
  <si>
    <t xml:space="preserve">4.1</t>
  </si>
  <si>
    <t xml:space="preserve">Tegas</t>
  </si>
  <si>
    <t xml:space="preserve">18.1</t>
  </si>
  <si>
    <t xml:space="preserve">Cepat</t>
  </si>
  <si>
    <t xml:space="preserve">Ramah</t>
  </si>
  <si>
    <t xml:space="preserve">Kooperatif</t>
  </si>
  <si>
    <t xml:space="preserve">Santai</t>
  </si>
  <si>
    <t xml:space="preserve">Akurat</t>
  </si>
  <si>
    <t xml:space="preserve">5.1</t>
  </si>
  <si>
    <t xml:space="preserve">Mandiri</t>
  </si>
  <si>
    <t xml:space="preserve">19.1</t>
  </si>
  <si>
    <t xml:space="preserve">Keras Kepala</t>
  </si>
  <si>
    <t xml:space="preserve">Persuasif</t>
  </si>
  <si>
    <t xml:space="preserve">Dramatis</t>
  </si>
  <si>
    <t xml:space="preserve">Konsisten</t>
  </si>
  <si>
    <t xml:space="preserve">Menolong</t>
  </si>
  <si>
    <t xml:space="preserve">Analitis</t>
  </si>
  <si>
    <t xml:space="preserve">Sistemik</t>
  </si>
  <si>
    <t xml:space="preserve">6.1</t>
  </si>
  <si>
    <t xml:space="preserve">Kompetitif</t>
  </si>
  <si>
    <t xml:space="preserve">20.1</t>
  </si>
  <si>
    <t xml:space="preserve">Berorientasi Tujuan</t>
  </si>
  <si>
    <t xml:space="preserve">Optimis</t>
  </si>
  <si>
    <t xml:space="preserve">Meyakinkan</t>
  </si>
  <si>
    <t xml:space="preserve">Dapat Diandalkan</t>
  </si>
  <si>
    <t xml:space="preserve">Terduga</t>
  </si>
  <si>
    <t xml:space="preserve">Perfeksionis</t>
  </si>
  <si>
    <t xml:space="preserve">7.1</t>
  </si>
  <si>
    <t xml:space="preserve">Langsung</t>
  </si>
  <si>
    <t xml:space="preserve">21.1</t>
  </si>
  <si>
    <t xml:space="preserve">Risk Taker</t>
  </si>
  <si>
    <t xml:space="preserve">Ekspresif</t>
  </si>
  <si>
    <t xml:space="preserve">Stabil</t>
  </si>
  <si>
    <t xml:space="preserve">Berhati-hati</t>
  </si>
  <si>
    <t xml:space="preserve">Sistematis</t>
  </si>
  <si>
    <t xml:space="preserve">8.1</t>
  </si>
  <si>
    <t xml:space="preserve">Menantang</t>
  </si>
  <si>
    <t xml:space="preserve">22.1</t>
  </si>
  <si>
    <t xml:space="preserve">Pemimpin</t>
  </si>
  <si>
    <t xml:space="preserve">Inspiratif</t>
  </si>
  <si>
    <t xml:space="preserve">Populer</t>
  </si>
  <si>
    <t xml:space="preserve">Setia Kawan</t>
  </si>
  <si>
    <t xml:space="preserve">Logis</t>
  </si>
  <si>
    <t xml:space="preserve">Bijaksana</t>
  </si>
  <si>
    <t xml:space="preserve">9.1</t>
  </si>
  <si>
    <t xml:space="preserve">Hasil-oriented</t>
  </si>
  <si>
    <t xml:space="preserve">23.1</t>
  </si>
  <si>
    <t xml:space="preserve">Proaktif</t>
  </si>
  <si>
    <t xml:space="preserve">Sosial</t>
  </si>
  <si>
    <t xml:space="preserve">Loyal</t>
  </si>
  <si>
    <t xml:space="preserve">Suportif</t>
  </si>
  <si>
    <t xml:space="preserve">Kritis</t>
  </si>
  <si>
    <t xml:space="preserve">Faktual</t>
  </si>
  <si>
    <t xml:space="preserve">10.1</t>
  </si>
  <si>
    <t xml:space="preserve">Berinisiatif</t>
  </si>
  <si>
    <t xml:space="preserve">24.1</t>
  </si>
  <si>
    <t xml:space="preserve">Otoriter</t>
  </si>
  <si>
    <t xml:space="preserve">Komunikatif</t>
  </si>
  <si>
    <t xml:space="preserve">Empati</t>
  </si>
  <si>
    <t xml:space="preserve">Pemaaf</t>
  </si>
  <si>
    <t xml:space="preserve">Terstruktur</t>
  </si>
  <si>
    <t xml:space="preserve">11.1</t>
  </si>
  <si>
    <t xml:space="preserve">Percaya Diri</t>
  </si>
  <si>
    <t xml:space="preserve">25.1</t>
  </si>
  <si>
    <t xml:space="preserve">Ekspresiif</t>
  </si>
  <si>
    <t xml:space="preserve">Harmonis</t>
  </si>
  <si>
    <t xml:space="preserve">Akomodatif</t>
  </si>
  <si>
    <t xml:space="preserve">Objektif</t>
  </si>
  <si>
    <t xml:space="preserve">Rasional</t>
  </si>
  <si>
    <t xml:space="preserve">12.1</t>
  </si>
  <si>
    <t xml:space="preserve">Decisive</t>
  </si>
  <si>
    <t xml:space="preserve">26.1</t>
  </si>
  <si>
    <t xml:space="preserve">Penantang</t>
  </si>
  <si>
    <t xml:space="preserve">Hangat</t>
  </si>
  <si>
    <t xml:space="preserve">Emosional</t>
  </si>
  <si>
    <t xml:space="preserve">Tulus</t>
  </si>
  <si>
    <t xml:space="preserve">Pendukung</t>
  </si>
  <si>
    <t xml:space="preserve">Presisi</t>
  </si>
  <si>
    <t xml:space="preserve">13.1</t>
  </si>
  <si>
    <t xml:space="preserve">Ambisius</t>
  </si>
  <si>
    <t xml:space="preserve">27.1</t>
  </si>
  <si>
    <t xml:space="preserve">Verbal</t>
  </si>
  <si>
    <t xml:space="preserve">Optimistis</t>
  </si>
  <si>
    <t xml:space="preserve">Pengertian</t>
  </si>
  <si>
    <t xml:space="preserve">Metodis</t>
  </si>
  <si>
    <t xml:space="preserve">14.1</t>
  </si>
  <si>
    <t xml:space="preserve">Pionir</t>
  </si>
  <si>
    <t xml:space="preserve">28.1</t>
  </si>
  <si>
    <t xml:space="preserve">Menguasai</t>
  </si>
  <si>
    <t xml:space="preserve">Demonstratif</t>
  </si>
  <si>
    <t xml:space="preserve">Kreatif</t>
  </si>
  <si>
    <t xml:space="preserve">Penyabar</t>
  </si>
  <si>
    <t xml:space="preserve">Konservatif</t>
  </si>
  <si>
    <t xml:space="preserve">Detail-oriented</t>
  </si>
  <si>
    <t xml:space="preserve">KETERANGAN WARNA TIPE DISC:</t>
  </si>
  <si>
    <t xml:space="preserve">D - Dominance</t>
  </si>
  <si>
    <t xml:space="preserve">I - Influence</t>
  </si>
  <si>
    <t xml:space="preserve">S - Steadiness</t>
  </si>
  <si>
    <t xml:space="preserve">C - Conscientiousness</t>
  </si>
  <si>
    <t xml:space="preserve">✔  Setelah selesai mengisi, lihat hasil di sheet '📊 Hasil &amp; Analisa'</t>
  </si>
  <si>
    <t xml:space="preserve">HASIL DISC TEST — ANALISA &amp; REKOMENDASI POSISI</t>
  </si>
  <si>
    <t xml:space="preserve">Easy Legal | HR Recruitment Assessment Tool</t>
  </si>
  <si>
    <t xml:space="preserve">BAGIAN A — SKOR MENTAH (Raw Score)</t>
  </si>
  <si>
    <t xml:space="preserve">Dimensi</t>
  </si>
  <si>
    <t xml:space="preserve">M Score</t>
  </si>
  <si>
    <t xml:space="preserve">L Score</t>
  </si>
  <si>
    <t xml:space="preserve">Net Score</t>
  </si>
  <si>
    <t xml:space="preserve">% Total</t>
  </si>
  <si>
    <t xml:space="preserve">D — Dominance</t>
  </si>
  <si>
    <t xml:space="preserve">I — Influence</t>
  </si>
  <si>
    <t xml:space="preserve">S — Steadiness</t>
  </si>
  <si>
    <t xml:space="preserve">C — Conscientiousness</t>
  </si>
  <si>
    <t xml:space="preserve">TOTAL</t>
  </si>
  <si>
    <t xml:space="preserve">100%</t>
  </si>
  <si>
    <t xml:space="preserve">BAGIAN B — PROFIL DOMINAN</t>
  </si>
  <si>
    <t xml:space="preserve">Tipe Primer:</t>
  </si>
  <si>
    <t xml:space="preserve">Tipe Sekunder:</t>
  </si>
  <si>
    <t xml:space="preserve">BAGIAN C — ANALISA KESESUAIAN POSISI</t>
  </si>
  <si>
    <t xml:space="preserve">Posisi</t>
  </si>
  <si>
    <t xml:space="preserve">Skor Fit (%)</t>
  </si>
  <si>
    <t xml:space="preserve">Status</t>
  </si>
  <si>
    <t xml:space="preserve">Catatan HR</t>
  </si>
  <si>
    <t xml:space="preserve">Legal Officer (LO)</t>
  </si>
  <si>
    <t xml:space="preserve">C dominan (akurat, sistematis) + D mendukung (decisive)</t>
  </si>
  <si>
    <t xml:space="preserve">Customer Care / CRM</t>
  </si>
  <si>
    <t xml:space="preserve">I dominan (komunikatif) + S mendukung (sabar, empati)</t>
  </si>
  <si>
    <t xml:space="preserve">PLA (Pre-Closing Lead Agent)</t>
  </si>
  <si>
    <t xml:space="preserve">D+I dominan (agresif, persuasif, target-driven)</t>
  </si>
  <si>
    <t xml:space="preserve">Marketing</t>
  </si>
  <si>
    <t xml:space="preserve">I dominan (kreatif, storytelling) + D mendukung (driven)</t>
  </si>
  <si>
    <t xml:space="preserve">BAGIAN D — REKOMENDASI FINAL HR</t>
  </si>
  <si>
    <t xml:space="preserve">Posisi Paling Direkomendasikan:</t>
  </si>
  <si>
    <t xml:space="preserve">Skor Fit Posisi Terpilih:</t>
  </si>
  <si>
    <t xml:space="preserve">CATATAN TAMBAHAN HR:</t>
  </si>
  <si>
    <t xml:space="preserve">⚠️  DISC adalah alat bantu seleksi, bukan penentu tunggal. Kombinasikan dengan wawancara mendalam, tes kemampuan, &amp; referensi.</t>
  </si>
  <si>
    <t xml:space="preserve">PANDUAN REKRUTMEN — EASY LEGAL</t>
  </si>
  <si>
    <t xml:space="preserve">Standar Seleksi Kandidat per Posisi | Dibuat oleh HR Direktur</t>
  </si>
  <si>
    <t xml:space="preserve">⚖️  LEGAL OFFICER (LO)</t>
  </si>
  <si>
    <t xml:space="preserve">Target KPI</t>
  </si>
  <si>
    <t xml:space="preserve">60-100 project legalitas per bulan (PT, CV, Perizinan, dll)</t>
  </si>
  <si>
    <t xml:space="preserve">DISC Ideal</t>
  </si>
  <si>
    <t xml:space="preserve">C Primer (≥40%) + D Sekunder (≥20%) | Rendah I &amp; S</t>
  </si>
  <si>
    <t xml:space="preserve">Hard Skill Wajib</t>
  </si>
  <si>
    <t xml:space="preserve">Pemahaman hukum perusahaan, OSS/NIB, Akte Notaris, perizinan sektoral</t>
  </si>
  <si>
    <t xml:space="preserve">Soft Skill Wajib</t>
  </si>
  <si>
    <t xml:space="preserve">Manajemen dokumen, multi-tasking, teliti, deadline-oriented</t>
  </si>
  <si>
    <t xml:space="preserve">Pendidikan Min.</t>
  </si>
  <si>
    <t xml:space="preserve">S1 Hukum / D3 Hukum + pengalaman relevan ≥1 tahun</t>
  </si>
  <si>
    <t xml:space="preserve">Test Tambahan</t>
  </si>
  <si>
    <t xml:space="preserve">✅ Tes IQ (min. 110) | ✅ Tes teliti/ketelitian dokumen | ✅ Simulasi pengerjaan berkas</t>
  </si>
  <si>
    <t xml:space="preserve">Red Flag DISC</t>
  </si>
  <si>
    <t xml:space="preserve">I sangat tinggi (&gt;45%) — terlalu sosial, kurang detail-oriented</t>
  </si>
  <si>
    <t xml:space="preserve">Interview Focus</t>
  </si>
  <si>
    <t xml:space="preserve">Bagaimana kamu handle 80 project bersamaan? Ceritakan sistem kerjamu.</t>
  </si>
  <si>
    <t xml:space="preserve">🎧  CUSTOMER CARE (CRM &amp; PLA)</t>
  </si>
  <si>
    <t xml:space="preserve">Scope Tugas</t>
  </si>
  <si>
    <t xml:space="preserve">Handle lead inbound, follow-up WhatsApp/email, closing awal, kelola komplain</t>
  </si>
  <si>
    <t xml:space="preserve">DISC CRM Ideal</t>
  </si>
  <si>
    <t xml:space="preserve">I Primer (≥35%) + S Sekunder (≥25%) | CRM: sabar, empati, relationship builder</t>
  </si>
  <si>
    <t xml:space="preserve">DISC PLA Ideal</t>
  </si>
  <si>
    <t xml:space="preserve">D Primer (≥35%) + I Sekunder (≥30%) | PLA: agresif closing, target-driven</t>
  </si>
  <si>
    <t xml:space="preserve">Hard Skill CRM</t>
  </si>
  <si>
    <t xml:space="preserve">CRM tools (HubSpot/Notion/Spreadsheet), komunikasi tertulis &amp; lisan profesional</t>
  </si>
  <si>
    <t xml:space="preserve">Hard Skill PLA</t>
  </si>
  <si>
    <t xml:space="preserve">Teknik closing, objection handling, pipeline management, target closing rate ≥30%</t>
  </si>
  <si>
    <t xml:space="preserve">Empati, sabar, komunikasi persuasif, tidak mudah menyerah, multitasking</t>
  </si>
  <si>
    <t xml:space="preserve">✅ Tes IQ (min. 100) | ✅ Role play handling komplain | ✅ Simulasi cold calling/WA</t>
  </si>
  <si>
    <t xml:space="preserve">C sangat tinggi (&gt;50%) — terlalu kaku untuk handle klien emosional</t>
  </si>
  <si>
    <t xml:space="preserve">Interview CRM</t>
  </si>
  <si>
    <t xml:space="preserve">Ceritakan pengalaman handling klien marah. Apa yang kamu lakukan?</t>
  </si>
  <si>
    <t xml:space="preserve">Interview PLA</t>
  </si>
  <si>
    <t xml:space="preserve">Bagaimana strategimu follow-up lead yang sudah 3x tidak respon?</t>
  </si>
  <si>
    <t xml:space="preserve">🧠  REKOMENDASI TES IQ — EASY LEGAL</t>
  </si>
  <si>
    <t xml:space="preserve">Apakah perlu IQ test?</t>
  </si>
  <si>
    <t xml:space="preserve">✅ YA, sangat direkomendasikan untuk LO (kritis) dan PLA (problem solving cepat)</t>
  </si>
  <si>
    <t xml:space="preserve">Standar Minimum LO</t>
  </si>
  <si>
    <t xml:space="preserve">IQ ≥ 110 (Di atas rata-rata) — butuh kemampuan analisis dokumen kompleks</t>
  </si>
  <si>
    <t xml:space="preserve">Standar Minimum CC/PLA</t>
  </si>
  <si>
    <t xml:space="preserve">IQ ≥ 100 (Rata-rata) — butuh kemampuan komunikasi &amp; problem solving dasar</t>
  </si>
  <si>
    <t xml:space="preserve">Standar Minimum Marketing</t>
  </si>
  <si>
    <t xml:space="preserve">IQ ≥ 105 — kreativitas + logika campaign</t>
  </si>
  <si>
    <t xml:space="preserve">Aplikasi Gratis</t>
  </si>
  <si>
    <t xml:space="preserve">➊  Kraepelin / Pauli Test (konsentrasi &amp; ketelitian) — cocok untuk LO</t>
  </si>
  <si>
    <t xml:space="preserve">➋  Psikotes.id — platform lokal, free tier tersedia, cocok UMKM</t>
  </si>
  <si>
    <t xml:space="preserve">➌  TestDome.com — berbasis kompetensi + IQ, bisa custom</t>
  </si>
  <si>
    <t xml:space="preserve">Aplikasi Berbayar</t>
  </si>
  <si>
    <t xml:space="preserve">➊  Talenta.co (HR platform Indonesia, sudah include psikotes)</t>
  </si>
  <si>
    <t xml:space="preserve">➋  GrowthHackers Psikotes — sudah termasuk DISC + IQ + Big5</t>
  </si>
  <si>
    <t xml:space="preserve">➌  AssessFirst — enterprise-level, akurasi tinggi, ada DISC + cognitive</t>
  </si>
  <si>
    <t xml:space="preserve">Rekomendasi Terbaik UMKM</t>
  </si>
  <si>
    <t xml:space="preserve">🏆  Psikotes.id atau Talenta.co — biaya terjangkau, antarmuka Bahasa Indonesia</t>
  </si>
  <si>
    <t xml:space="preserve">📌  CATATAN: DISC + IQ + Wawancara Terstruktur = Kombinasi terbaik untuk seleksi kandidat berkualitas di Easy Legal</t>
  </si>
  <si>
    <t xml:space="preserve">INPUT SKOR DISC — FORMAT GOOGLE FORM / ANGKA LANGSUNG</t>
  </si>
  <si>
    <t xml:space="preserve">Easy Legal | Masukkan skor D, S, C, I dari hasil GForm — Analisa otomatis muncul di kolom kanan</t>
  </si>
  <si>
    <t xml:space="preserve">SKALA PENILAIAN (Threshold)</t>
  </si>
  <si>
    <t xml:space="preserve">Rentang</t>
  </si>
  <si>
    <t xml:space="preserve">Level</t>
  </si>
  <si>
    <t xml:space="preserve">Interpretasi</t>
  </si>
  <si>
    <t xml:space="preserve">&lt; 9</t>
  </si>
  <si>
    <t xml:space="preserve">RENDAH</t>
  </si>
  <si>
    <t xml:space="preserve">Dimensi ini bukan karakter dominan kandidat</t>
  </si>
  <si>
    <t xml:space="preserve">9 – 13</t>
  </si>
  <si>
    <t xml:space="preserve">SEDANG</t>
  </si>
  <si>
    <t xml:space="preserve">Dimensi ini cukup ada, tapi bukan yang utama</t>
  </si>
  <si>
    <t xml:space="preserve">14 – 17</t>
  </si>
  <si>
    <t xml:space="preserve">TINGGI</t>
  </si>
  <si>
    <t xml:space="preserve">Dimensi ini menonjol dan berpengaruh signifikan</t>
  </si>
  <si>
    <t xml:space="preserve">≥ 18</t>
  </si>
  <si>
    <t xml:space="preserve">SANGAT TINGGI</t>
  </si>
  <si>
    <t xml:space="preserve">Dimensi ini sangat dominan — karakter utama kandidat</t>
  </si>
  <si>
    <t xml:space="preserve">Nama Kandidat</t>
  </si>
  <si>
    <t xml:space="preserve">Posisi Dilamar</t>
  </si>
  <si>
    <t xml:space="preserve">Skor D
(Dominance)</t>
  </si>
  <si>
    <t xml:space="preserve">Skor S
(Steadiness)</t>
  </si>
  <si>
    <t xml:space="preserve">Skor C
(Conscient.)</t>
  </si>
  <si>
    <t xml:space="preserve">Skor I
(Influence)</t>
  </si>
  <si>
    <t xml:space="preserve">Level D</t>
  </si>
  <si>
    <t xml:space="preserve">Level S</t>
  </si>
  <si>
    <t xml:space="preserve">Level C</t>
  </si>
  <si>
    <t xml:space="preserve">Level I</t>
  </si>
  <si>
    <t xml:space="preserve">Tiara Nabila</t>
  </si>
  <si>
    <t xml:space="preserve">Easy Legal</t>
  </si>
  <si>
    <t xml:space="preserve">Amnila Hanisah Rifainy</t>
  </si>
  <si>
    <t xml:space="preserve">Fika Nur Fatmala</t>
  </si>
  <si>
    <t xml:space="preserve">Fauzia Rahmawati</t>
  </si>
  <si>
    <t xml:space="preserve">SALMAN ARYANA</t>
  </si>
  <si>
    <t xml:space="preserve">Wulan Eka Refiana</t>
  </si>
  <si>
    <t xml:space="preserve">Mulyanasari (Riri)</t>
  </si>
  <si>
    <t xml:space="preserve">yumita</t>
  </si>
  <si>
    <t xml:space="preserve">Ela Yuniar</t>
  </si>
  <si>
    <t xml:space="preserve">yunia raventi</t>
  </si>
  <si>
    <t xml:space="preserve">AULIA AZMI IZZATUL HAQ</t>
  </si>
  <si>
    <t xml:space="preserve">↓  Setelah mengisi skor di atas, lanjut ke sheet berikutnya untuk melihat analisa kesesuaian posisi per kandidat</t>
  </si>
  <si>
    <t xml:space="preserve">ANALISA BATCH KANDIDAT — KESESUAIAN POSISI EASY LEGAL</t>
  </si>
  <si>
    <t xml:space="preserve">Skor ditarik otomatis dari sheet '📥 Input Skor GForm' | Cocok posisi mana? Berapa % fit-nya?</t>
  </si>
  <si>
    <t xml:space="preserve">LOGIKA KESESUAIAN POSISI (Rumus Fit Score)</t>
  </si>
  <si>
    <t xml:space="preserve">C SANGAT TINGGI / TINGGI  +  D SEDANG ke atas  =  Fit tinggi</t>
  </si>
  <si>
    <t xml:space="preserve">S TINGGI / SANGAT TINGGI  +  I TINGGI  =  Fit tinggi</t>
  </si>
  <si>
    <t xml:space="preserve">PLA (Pre-Closing Lead)</t>
  </si>
  <si>
    <t xml:space="preserve">D TINGGI / SANGAT TINGGI  +  I TINGGI  =  Fit tinggi</t>
  </si>
  <si>
    <t xml:space="preserve">I SANGAT TINGGI  +  D TINGGI  +  C RENDAH  =  Fit tinggi</t>
  </si>
  <si>
    <t xml:space="preserve">Posisi
Dilamar</t>
  </si>
  <si>
    <t xml:space="preserve">Fit LO
(%)</t>
  </si>
  <si>
    <t xml:space="preserve">Fit CRM
(%)</t>
  </si>
  <si>
    <t xml:space="preserve">Fit PLA
(%)</t>
  </si>
  <si>
    <t xml:space="preserve">Fit Mkt
(%)</t>
  </si>
  <si>
    <t xml:space="preserve">✅ REKOMENDASI
POSISI</t>
  </si>
  <si>
    <t xml:space="preserve">PANDUAN INTERPRETASI SKOR DISC — PER DIMENSI &amp; LEVEL</t>
  </si>
  <si>
    <t xml:space="preserve">Easy Legal | Threshold: &lt;9 Rendah | 9-13 Sedang | 14-17 Tinggi | ≥18 Sangat Tinggi</t>
  </si>
  <si>
    <t xml:space="preserve">  D  —  DOMINANCE — Cara merespons tantangan &amp; masalah</t>
  </si>
  <si>
    <t xml:space="preserve">Range</t>
  </si>
  <si>
    <t xml:space="preserve">Interpretasi &amp; Implikasi Rekrutmen</t>
  </si>
  <si>
    <t xml:space="preserve">Rendah</t>
  </si>
  <si>
    <t xml:space="preserve">Menghindari konflik, tidak agresif, lebih suka dibimbing. Kurang cocok PLA.</t>
  </si>
  <si>
    <t xml:space="preserve">Sedang</t>
  </si>
  <si>
    <t xml:space="preserve">9–13</t>
  </si>
  <si>
    <t xml:space="preserve">Bisa tegas bila diperlukan, namun tidak dominan. Cocok sebagai support role.</t>
  </si>
  <si>
    <t xml:space="preserve">Tinggi</t>
  </si>
  <si>
    <t xml:space="preserve">14–17</t>
  </si>
  <si>
    <t xml:space="preserve">Tegas, mandiri, berorientasi hasil. Cocok CRM supervisor, LO senior, PLA.</t>
  </si>
  <si>
    <t xml:space="preserve">Sgt Tinggi</t>
  </si>
  <si>
    <t xml:space="preserve">≥18</t>
  </si>
  <si>
    <t xml:space="preserve">Sangat dominan, kompetitif, risk taker. Sangat cocok PLA &amp; team lead.</t>
  </si>
  <si>
    <t xml:space="preserve">  S  —  STEADINESS — Cara merespons ritme &amp; lingkungan kerja</t>
  </si>
  <si>
    <t xml:space="preserve">Mudah bosan, suka perubahan cepat, kurang sabar. Kurang cocok CRM panjang.</t>
  </si>
  <si>
    <t xml:space="preserve">Cukup stabil, bisa adaptasi. Cocok hampir semua posisi dengan supervisi.</t>
  </si>
  <si>
    <t xml:space="preserve">Sabar, loyal, konsisten. Sangat cocok CRM (handle komplain), LO (repetitive doc).</t>
  </si>
  <si>
    <t xml:space="preserve">Sangat sabar &amp; stabil. Ideal CRM, namun perlu dorongan untuk PLA/Marketing.</t>
  </si>
  <si>
    <t xml:space="preserve">  C  —  CONSCIENTIOUSNESS — Cara merespons aturan &amp; standar</t>
  </si>
  <si>
    <t xml:space="preserve">Fleksibel, kurang sistematis. Cocok Marketing kreatif, tidak cocok LO.</t>
  </si>
  <si>
    <t xml:space="preserve">Cukup teliti, bisa mengikuti SOP. Bisa LO entry-level dengan training.</t>
  </si>
  <si>
    <t xml:space="preserve">Akurat, sistematis, berbasis data. Sangat cocok Legal Officer.</t>
  </si>
  <si>
    <t xml:space="preserve">Perfeksionis ekstrem. Sangat cocok LO senior &amp; quality control dokumen.</t>
  </si>
  <si>
    <t xml:space="preserve">  I  —  INFLUENCE — Cara mempengaruhi &amp; berhubungan dengan orang lain</t>
  </si>
  <si>
    <t xml:space="preserve">Introvert, tidak nyaman jadi pusat perhatian. Kurang cocok PLA &amp; Marketing.</t>
  </si>
  <si>
    <t xml:space="preserve">Komunikasi cukup baik, bisa handle klien dengan training. CRM entry-level.</t>
  </si>
  <si>
    <t xml:space="preserve">Komunikatif, persuasif, hangat. Sangat cocok CRM, PLA, Marketing.</t>
  </si>
  <si>
    <t xml:space="preserve">Karismatik, sangat persuasif. Ideal Marketing lead &amp; senior PLA.</t>
  </si>
  <si>
    <t xml:space="preserve">📌  Tips HR: Lihat kombinasi 2 dimensi tertinggi, bukan hanya 1 dimensi. Profil terbaik selalu kombinasi (mis. C+D untuk LO, I+S untuk CRM).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</si>
</sst>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\%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D6E6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A4A4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27AE60"/>
      <name val="Arial"/>
      <family val="0"/>
      <charset val="1"/>
    </font>
    <font>
      <b val="true"/>
      <sz val="12"/>
      <color rgb="FFE74C3C"/>
      <name val="Arial"/>
      <family val="0"/>
      <charset val="1"/>
    </font>
    <font>
      <sz val="9"/>
      <color rgb="FFAAAAAA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B3A6B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1B3A6B"/>
      <name val="Arial"/>
      <family val="0"/>
      <charset val="1"/>
    </font>
    <font>
      <b val="true"/>
      <sz val="13"/>
      <color rgb="FF1E84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5"/>
      <color rgb="FFFFFFFF"/>
      <name val="Arial"/>
      <family val="0"/>
      <charset val="1"/>
    </font>
  </fonts>
  <fills count="40">
    <fill>
      <patternFill patternType="none"/>
    </fill>
    <fill>
      <patternFill patternType="gray125"/>
    </fill>
    <fill>
      <patternFill patternType="solid">
        <fgColor rgb="FF1B3A6B"/>
        <bgColor rgb="FF4A4A4A"/>
      </patternFill>
    </fill>
    <fill>
      <patternFill patternType="solid">
        <fgColor rgb="FF0D6E6E"/>
        <bgColor rgb="FF1E8449"/>
      </patternFill>
    </fill>
    <fill>
      <patternFill patternType="solid">
        <fgColor rgb="FF4A4A4A"/>
        <bgColor rgb="FF1B3A6B"/>
      </patternFill>
    </fill>
    <fill>
      <patternFill patternType="solid">
        <fgColor rgb="FFF7F9FC"/>
        <bgColor rgb="FFF8F9FA"/>
      </patternFill>
    </fill>
    <fill>
      <patternFill patternType="solid">
        <fgColor rgb="FFEAF2FB"/>
        <bgColor rgb="FFE8F4FD"/>
      </patternFill>
    </fill>
    <fill>
      <patternFill patternType="solid">
        <fgColor rgb="FFE74C3C"/>
        <bgColor rgb="FFD35400"/>
      </patternFill>
    </fill>
    <fill>
      <patternFill patternType="solid">
        <fgColor rgb="FFF39C12"/>
        <bgColor rgb="FFC9A84C"/>
      </patternFill>
    </fill>
    <fill>
      <patternFill patternType="solid">
        <fgColor rgb="FF27AE60"/>
        <bgColor rgb="FF16A085"/>
      </patternFill>
    </fill>
    <fill>
      <patternFill patternType="solid">
        <fgColor rgb="FF2980B9"/>
        <bgColor rgb="FF16A085"/>
      </patternFill>
    </fill>
    <fill>
      <patternFill patternType="solid">
        <fgColor rgb="FFF0F4FA"/>
        <bgColor rgb="FFEAF2FB"/>
      </patternFill>
    </fill>
    <fill>
      <patternFill patternType="solid">
        <fgColor rgb="FFE8F4FD"/>
        <bgColor rgb="FFEAF2FB"/>
      </patternFill>
    </fill>
    <fill>
      <patternFill patternType="solid">
        <fgColor rgb="FFFFFDE7"/>
        <bgColor rgb="FFFFFDF0"/>
      </patternFill>
    </fill>
    <fill>
      <patternFill patternType="solid">
        <fgColor rgb="FFFADBD8"/>
        <bgColor rgb="FFFDEBD0"/>
      </patternFill>
    </fill>
    <fill>
      <patternFill patternType="solid">
        <fgColor rgb="FFFEF9E7"/>
        <bgColor rgb="FFFFF8E1"/>
      </patternFill>
    </fill>
    <fill>
      <patternFill patternType="solid">
        <fgColor rgb="FFF8F9FA"/>
        <bgColor rgb="FFF7F9FC"/>
      </patternFill>
    </fill>
    <fill>
      <patternFill patternType="solid">
        <fgColor rgb="FFFFFFFF"/>
        <bgColor rgb="FFFFF9F9"/>
      </patternFill>
    </fill>
    <fill>
      <patternFill patternType="solid">
        <fgColor rgb="FFD5F5E3"/>
        <bgColor rgb="FFE0F7FA"/>
      </patternFill>
    </fill>
    <fill>
      <patternFill patternType="solid">
        <fgColor rgb="FFFDEBD0"/>
        <bgColor rgb="FFFFF3E0"/>
      </patternFill>
    </fill>
    <fill>
      <patternFill patternType="solid">
        <fgColor rgb="FFD6EAF8"/>
        <bgColor rgb="FFD5F5E3"/>
      </patternFill>
    </fill>
    <fill>
      <patternFill patternType="solid">
        <fgColor rgb="FFE8F8F5"/>
        <bgColor rgb="FFE8F4FD"/>
      </patternFill>
    </fill>
    <fill>
      <patternFill patternType="solid">
        <fgColor rgb="FF8E44AD"/>
        <bgColor rgb="FF4A4A4A"/>
      </patternFill>
    </fill>
    <fill>
      <patternFill patternType="solid">
        <fgColor rgb="FFEDE7F6"/>
        <bgColor rgb="FFF3E5F5"/>
      </patternFill>
    </fill>
    <fill>
      <patternFill patternType="solid">
        <fgColor rgb="FFF8F0FF"/>
        <bgColor rgb="FFFFF3F9"/>
      </patternFill>
    </fill>
    <fill>
      <patternFill patternType="solid">
        <fgColor rgb="FFF3E5F5"/>
        <bgColor rgb="FFEDE7F6"/>
      </patternFill>
    </fill>
    <fill>
      <patternFill patternType="solid">
        <fgColor rgb="FFFFF3F9"/>
        <bgColor rgb="FFFFF9F9"/>
      </patternFill>
    </fill>
    <fill>
      <patternFill patternType="solid">
        <fgColor rgb="FF16A085"/>
        <bgColor rgb="FF27AE60"/>
      </patternFill>
    </fill>
    <fill>
      <patternFill patternType="solid">
        <fgColor rgb="FFE0F7FA"/>
        <bgColor rgb="FFE8F8F5"/>
      </patternFill>
    </fill>
    <fill>
      <patternFill patternType="solid">
        <fgColor rgb="FFF0FDFE"/>
        <bgColor rgb="FFF7FBFF"/>
      </patternFill>
    </fill>
    <fill>
      <patternFill patternType="solid">
        <fgColor rgb="FFE8F5E9"/>
        <bgColor rgb="FFE8F8F5"/>
      </patternFill>
    </fill>
    <fill>
      <patternFill patternType="solid">
        <fgColor rgb="FFF1F8E9"/>
        <bgColor rgb="FFE8F5E9"/>
      </patternFill>
    </fill>
    <fill>
      <patternFill patternType="solid">
        <fgColor rgb="FFFFF8E1"/>
        <bgColor rgb="FFFEF9E7"/>
      </patternFill>
    </fill>
    <fill>
      <patternFill patternType="solid">
        <fgColor rgb="FFFFFDF0"/>
        <bgColor rgb="FFFFFDE7"/>
      </patternFill>
    </fill>
    <fill>
      <patternFill patternType="solid">
        <fgColor rgb="FFFFF3E0"/>
        <bgColor rgb="FFFFF8E1"/>
      </patternFill>
    </fill>
    <fill>
      <patternFill patternType="solid">
        <fgColor rgb="FFFFF8F0"/>
        <bgColor rgb="FFFFF9F9"/>
      </patternFill>
    </fill>
    <fill>
      <patternFill patternType="solid">
        <fgColor rgb="FFF7FBFF"/>
        <bgColor rgb="FFF7F9FC"/>
      </patternFill>
    </fill>
    <fill>
      <patternFill patternType="solid">
        <fgColor rgb="FFFFF9F9"/>
        <bgColor rgb="FFFFF8F0"/>
      </patternFill>
    </fill>
    <fill>
      <patternFill patternType="solid">
        <fgColor rgb="FFC0392B"/>
        <bgColor rgb="FFE74C3C"/>
      </patternFill>
    </fill>
    <fill>
      <patternFill patternType="solid">
        <fgColor rgb="FFD35400"/>
        <bgColor rgb="FFE74C3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F8F9FA"/>
      <rgbColor rgb="FF0000FF"/>
      <rgbColor rgb="FFFFF3E0"/>
      <rgbColor rgb="FFFFF9F9"/>
      <rgbColor rgb="FFE8F5E9"/>
      <rgbColor rgb="FF800000"/>
      <rgbColor rgb="FFF7FBFF"/>
      <rgbColor rgb="FF000080"/>
      <rgbColor rgb="FFF1F8E9"/>
      <rgbColor rgb="FF800080"/>
      <rgbColor rgb="FF0D6E6E"/>
      <rgbColor rgb="FFEDE7F6"/>
      <rgbColor rgb="FF7F8C8D"/>
      <rgbColor rgb="FFE8F4FD"/>
      <rgbColor rgb="FF8E44AD"/>
      <rgbColor rgb="FFFFF8E1"/>
      <rgbColor rgb="FFE0F7FA"/>
      <rgbColor rgb="FF660066"/>
      <rgbColor rgb="FFE74C3C"/>
      <rgbColor rgb="FF2980B9"/>
      <rgbColor rgb="FFD6EAF8"/>
      <rgbColor rgb="FF000080"/>
      <rgbColor rgb="FFFF00FF"/>
      <rgbColor rgb="FFFFFDE7"/>
      <rgbColor rgb="FFF0FDFE"/>
      <rgbColor rgb="FF800080"/>
      <rgbColor rgb="FF800000"/>
      <rgbColor rgb="FF1E8449"/>
      <rgbColor rgb="FF0000FF"/>
      <rgbColor rgb="FFF0F4FA"/>
      <rgbColor rgb="FFE8F8F5"/>
      <rgbColor rgb="FFD5F5E3"/>
      <rgbColor rgb="FFFDEBD0"/>
      <rgbColor rgb="FFF3E5F5"/>
      <rgbColor rgb="FFF8F0FF"/>
      <rgbColor rgb="FFEAF2FB"/>
      <rgbColor rgb="FFFADBD8"/>
      <rgbColor rgb="FFF7F9FC"/>
      <rgbColor rgb="FF16A085"/>
      <rgbColor rgb="FFC9A84C"/>
      <rgbColor rgb="FFFEF9E7"/>
      <rgbColor rgb="FFF39C12"/>
      <rgbColor rgb="FFD35400"/>
      <rgbColor rgb="FFFFF3F9"/>
      <rgbColor rgb="FFAAAAAA"/>
      <rgbColor rgb="FF1B3A6B"/>
      <rgbColor rgb="FF27AE60"/>
      <rgbColor rgb="FF003300"/>
      <rgbColor rgb="FF333300"/>
      <rgbColor rgb="FFC0392B"/>
      <rgbColor rgb="FFFFF8F0"/>
      <rgbColor rgb="FFFFFDF0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5"/>
    <col collapsed="false" customWidth="true" hidden="false" outlineLevel="0" max="3" min="3" style="1" width="3"/>
  </cols>
  <sheetData>
    <row r="1" customFormat="false" ht="60" hidden="false" customHeight="true" outlineLevel="0" collapsed="false">
      <c r="B1" s="2" t="s">
        <v>0</v>
      </c>
    </row>
    <row r="2" customFormat="false" ht="19.5" hidden="false" customHeight="true" outlineLevel="0" collapsed="false">
      <c r="B2" s="2"/>
    </row>
    <row r="3" customFormat="false" ht="19.5" hidden="false" customHeight="true" outlineLevel="0" collapsed="false">
      <c r="B3" s="2"/>
    </row>
    <row r="4" customFormat="false" ht="34.5" hidden="false" customHeight="true" outlineLevel="0" collapsed="false">
      <c r="B4" s="3" t="s">
        <v>1</v>
      </c>
    </row>
    <row r="5" customFormat="false" ht="19.5" hidden="false" customHeight="true" outlineLevel="0" collapsed="false">
      <c r="B5" s="3"/>
    </row>
    <row r="6" customFormat="false" ht="24.75" hidden="false" customHeight="true" outlineLevel="0" collapsed="false">
      <c r="B6" s="4" t="s">
        <v>2</v>
      </c>
    </row>
    <row r="7" customFormat="false" ht="27.75" hidden="false" customHeight="true" outlineLevel="0" collapsed="false">
      <c r="B7" s="5" t="s">
        <v>3</v>
      </c>
    </row>
    <row r="8" customFormat="false" ht="27.75" hidden="false" customHeight="true" outlineLevel="0" collapsed="false">
      <c r="B8" s="5" t="s">
        <v>4</v>
      </c>
    </row>
    <row r="9" customFormat="false" ht="27.75" hidden="false" customHeight="true" outlineLevel="0" collapsed="false">
      <c r="B9" s="5" t="s">
        <v>5</v>
      </c>
    </row>
    <row r="10" customFormat="false" ht="27.75" hidden="false" customHeight="true" outlineLevel="0" collapsed="false">
      <c r="B10" s="5" t="s">
        <v>6</v>
      </c>
    </row>
    <row r="11" customFormat="false" ht="19.5" hidden="false" customHeight="true" outlineLevel="0" collapsed="false"/>
    <row r="12" customFormat="false" ht="30" hidden="false" customHeight="true" outlineLevel="0" collapsed="false">
      <c r="B12" s="6" t="s">
        <v>7</v>
      </c>
    </row>
    <row r="13" customFormat="false" ht="27.75" hidden="false" customHeight="true" outlineLevel="0" collapsed="false">
      <c r="B13" s="7" t="s">
        <v>8</v>
      </c>
    </row>
    <row r="14" customFormat="false" ht="27.75" hidden="false" customHeight="true" outlineLevel="0" collapsed="false">
      <c r="B14" s="8" t="s">
        <v>9</v>
      </c>
    </row>
    <row r="15" customFormat="false" ht="27.75" hidden="false" customHeight="true" outlineLevel="0" collapsed="false">
      <c r="B15" s="7" t="s">
        <v>10</v>
      </c>
    </row>
    <row r="16" customFormat="false" ht="27.75" hidden="false" customHeight="true" outlineLevel="0" collapsed="false">
      <c r="B16" s="8" t="s">
        <v>11</v>
      </c>
    </row>
    <row r="17" customFormat="false" ht="27.75" hidden="false" customHeight="true" outlineLevel="0" collapsed="false">
      <c r="B17" s="7" t="s">
        <v>12</v>
      </c>
    </row>
    <row r="18" customFormat="false" ht="27.75" hidden="false" customHeight="true" outlineLevel="0" collapsed="false">
      <c r="B18" s="8" t="s">
        <v>13</v>
      </c>
    </row>
    <row r="19" customFormat="false" ht="27.75" hidden="false" customHeight="true" outlineLevel="0" collapsed="false">
      <c r="B19" s="7" t="s">
        <v>14</v>
      </c>
    </row>
    <row r="20" customFormat="false" ht="27.75" hidden="false" customHeight="true" outlineLevel="0" collapsed="false">
      <c r="B20" s="8" t="s">
        <v>15</v>
      </c>
    </row>
    <row r="21" customFormat="false" ht="27.75" hidden="false" customHeight="true" outlineLevel="0" collapsed="false">
      <c r="B21" s="7" t="s">
        <v>16</v>
      </c>
    </row>
    <row r="22" customFormat="false" ht="19.5" hidden="false" customHeight="true" outlineLevel="0" collapsed="false"/>
    <row r="23" customFormat="false" ht="30" hidden="false" customHeight="true" outlineLevel="0" collapsed="false">
      <c r="B23" s="6" t="s">
        <v>17</v>
      </c>
    </row>
    <row r="24" customFormat="false" ht="45" hidden="false" customHeight="true" outlineLevel="0" collapsed="false">
      <c r="B24" s="9" t="s">
        <v>18</v>
      </c>
    </row>
    <row r="25" customFormat="false" ht="45" hidden="false" customHeight="true" outlineLevel="0" collapsed="false">
      <c r="B25" s="10" t="s">
        <v>19</v>
      </c>
    </row>
    <row r="26" customFormat="false" ht="45" hidden="false" customHeight="true" outlineLevel="0" collapsed="false">
      <c r="B26" s="11" t="s">
        <v>20</v>
      </c>
    </row>
    <row r="27" customFormat="false" ht="45" hidden="false" customHeight="true" outlineLevel="0" collapsed="false">
      <c r="B27" s="12" t="s">
        <v>21</v>
      </c>
    </row>
    <row r="28" customFormat="false" ht="19.5" hidden="false" customHeight="true" outlineLevel="0" collapsed="false"/>
    <row r="29" customFormat="false" ht="30" hidden="false" customHeight="true" outlineLevel="0" collapsed="false">
      <c r="B29" s="13" t="s">
        <v>22</v>
      </c>
    </row>
    <row r="30" customFormat="false" ht="45" hidden="false" customHeight="true" outlineLevel="0" collapsed="false">
      <c r="B30" s="14" t="s">
        <v>23</v>
      </c>
    </row>
    <row r="31" customFormat="false" ht="45" hidden="false" customHeight="true" outlineLevel="0" collapsed="false">
      <c r="B31" s="15" t="s">
        <v>24</v>
      </c>
    </row>
    <row r="32" customFormat="false" ht="45" hidden="false" customHeight="true" outlineLevel="0" collapsed="false">
      <c r="B32" s="14" t="s">
        <v>25</v>
      </c>
    </row>
    <row r="33" customFormat="false" ht="45" hidden="false" customHeight="true" outlineLevel="0" collapsed="false">
      <c r="B33" s="15" t="s">
        <v>26</v>
      </c>
    </row>
    <row r="34" customFormat="false" ht="19.5" hidden="false" customHeight="true" outlineLevel="0" collapsed="false"/>
    <row r="35" customFormat="false" ht="30" hidden="false" customHeight="true" outlineLevel="0" collapsed="false">
      <c r="B35" s="16" t="s">
        <v>27</v>
      </c>
    </row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mergeCells count="2">
    <mergeCell ref="B1:B3"/>
    <mergeCell ref="B4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4" min="3" style="1" width="9"/>
    <col collapsed="false" customWidth="true" hidden="false" outlineLevel="0" max="5" min="5" style="1" width="10"/>
    <col collapsed="false" customWidth="true" hidden="false" outlineLevel="0" max="6" min="6" style="1" width="3"/>
    <col collapsed="false" customWidth="true" hidden="false" outlineLevel="0" max="7" min="7" style="1" width="5"/>
    <col collapsed="false" customWidth="true" hidden="false" outlineLevel="0" max="8" min="8" style="1" width="28"/>
    <col collapsed="false" customWidth="true" hidden="false" outlineLevel="0" max="10" min="9" style="1" width="9"/>
    <col collapsed="false" customWidth="true" hidden="false" outlineLevel="0" max="11" min="11" style="1" width="10"/>
  </cols>
  <sheetData>
    <row r="1" customFormat="false" ht="45" hidden="false" customHeight="true" outlineLevel="0" collapsed="false">
      <c r="A1" s="17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customFormat="false" ht="27.75" hidden="false" customHeight="true" outlineLevel="0" collapsed="false">
      <c r="A2" s="18" t="s">
        <v>29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49.5" hidden="false" customHeight="true" outlineLevel="0" collapsed="false">
      <c r="A3" s="19" t="s">
        <v>30</v>
      </c>
      <c r="B3" s="19" t="s">
        <v>31</v>
      </c>
      <c r="C3" s="19" t="s">
        <v>32</v>
      </c>
      <c r="D3" s="19" t="s">
        <v>33</v>
      </c>
      <c r="E3" s="19" t="s">
        <v>34</v>
      </c>
      <c r="G3" s="19" t="s">
        <v>30</v>
      </c>
      <c r="H3" s="19" t="s">
        <v>31</v>
      </c>
      <c r="I3" s="19" t="s">
        <v>32</v>
      </c>
      <c r="J3" s="19" t="s">
        <v>33</v>
      </c>
      <c r="K3" s="19" t="s">
        <v>34</v>
      </c>
    </row>
    <row r="4" customFormat="false" ht="21.75" hidden="false" customHeight="true" outlineLevel="0" collapsed="false">
      <c r="A4" s="20" t="s">
        <v>35</v>
      </c>
      <c r="B4" s="21" t="s">
        <v>36</v>
      </c>
      <c r="C4" s="22"/>
      <c r="D4" s="23"/>
      <c r="E4" s="24" t="s">
        <v>37</v>
      </c>
      <c r="G4" s="20" t="s">
        <v>38</v>
      </c>
      <c r="H4" s="21" t="s">
        <v>39</v>
      </c>
      <c r="I4" s="22"/>
      <c r="J4" s="23"/>
      <c r="K4" s="24" t="s">
        <v>37</v>
      </c>
    </row>
    <row r="5" customFormat="false" ht="21.75" hidden="false" customHeight="true" outlineLevel="0" collapsed="false">
      <c r="A5" s="25"/>
      <c r="B5" s="26" t="s">
        <v>40</v>
      </c>
      <c r="C5" s="22"/>
      <c r="D5" s="23"/>
      <c r="E5" s="24" t="s">
        <v>41</v>
      </c>
      <c r="G5" s="25"/>
      <c r="H5" s="26" t="s">
        <v>42</v>
      </c>
      <c r="I5" s="22"/>
      <c r="J5" s="23"/>
      <c r="K5" s="24" t="s">
        <v>41</v>
      </c>
    </row>
    <row r="6" customFormat="false" ht="21.75" hidden="false" customHeight="true" outlineLevel="0" collapsed="false">
      <c r="A6" s="25"/>
      <c r="B6" s="27" t="s">
        <v>43</v>
      </c>
      <c r="C6" s="22"/>
      <c r="D6" s="23"/>
      <c r="E6" s="24" t="s">
        <v>44</v>
      </c>
      <c r="G6" s="25"/>
      <c r="H6" s="27" t="s">
        <v>45</v>
      </c>
      <c r="I6" s="22"/>
      <c r="J6" s="23"/>
      <c r="K6" s="24" t="s">
        <v>44</v>
      </c>
    </row>
    <row r="7" customFormat="false" ht="21.75" hidden="false" customHeight="true" outlineLevel="0" collapsed="false">
      <c r="A7" s="25"/>
      <c r="B7" s="26" t="s">
        <v>46</v>
      </c>
      <c r="C7" s="22"/>
      <c r="D7" s="23"/>
      <c r="E7" s="24" t="s">
        <v>47</v>
      </c>
      <c r="G7" s="25"/>
      <c r="H7" s="26" t="s">
        <v>48</v>
      </c>
      <c r="I7" s="22"/>
      <c r="J7" s="23"/>
      <c r="K7" s="24" t="s">
        <v>47</v>
      </c>
    </row>
    <row r="8" customFormat="false" ht="21.75" hidden="false" customHeight="true" outlineLevel="0" collapsed="false">
      <c r="A8" s="20" t="s">
        <v>49</v>
      </c>
      <c r="B8" s="21" t="s">
        <v>50</v>
      </c>
      <c r="C8" s="22"/>
      <c r="D8" s="23"/>
      <c r="E8" s="24" t="s">
        <v>37</v>
      </c>
      <c r="G8" s="20" t="s">
        <v>51</v>
      </c>
      <c r="H8" s="21" t="s">
        <v>52</v>
      </c>
      <c r="I8" s="22"/>
      <c r="J8" s="23"/>
      <c r="K8" s="24" t="s">
        <v>37</v>
      </c>
    </row>
    <row r="9" customFormat="false" ht="21.75" hidden="false" customHeight="true" outlineLevel="0" collapsed="false">
      <c r="A9" s="25"/>
      <c r="B9" s="26" t="s">
        <v>53</v>
      </c>
      <c r="C9" s="22"/>
      <c r="D9" s="23"/>
      <c r="E9" s="24" t="s">
        <v>41</v>
      </c>
      <c r="G9" s="25"/>
      <c r="H9" s="26" t="s">
        <v>54</v>
      </c>
      <c r="I9" s="22"/>
      <c r="J9" s="23"/>
      <c r="K9" s="24" t="s">
        <v>41</v>
      </c>
    </row>
    <row r="10" customFormat="false" ht="21.75" hidden="false" customHeight="true" outlineLevel="0" collapsed="false">
      <c r="A10" s="25"/>
      <c r="B10" s="27" t="s">
        <v>55</v>
      </c>
      <c r="C10" s="22"/>
      <c r="D10" s="23"/>
      <c r="E10" s="24" t="s">
        <v>44</v>
      </c>
      <c r="G10" s="25"/>
      <c r="H10" s="27" t="s">
        <v>56</v>
      </c>
      <c r="I10" s="22"/>
      <c r="J10" s="23"/>
      <c r="K10" s="24" t="s">
        <v>44</v>
      </c>
    </row>
    <row r="11" customFormat="false" ht="21.75" hidden="false" customHeight="true" outlineLevel="0" collapsed="false">
      <c r="A11" s="25"/>
      <c r="B11" s="26" t="s">
        <v>57</v>
      </c>
      <c r="C11" s="22"/>
      <c r="D11" s="23"/>
      <c r="E11" s="24" t="s">
        <v>47</v>
      </c>
      <c r="G11" s="25"/>
      <c r="H11" s="26" t="s">
        <v>58</v>
      </c>
      <c r="I11" s="22"/>
      <c r="J11" s="23"/>
      <c r="K11" s="24" t="s">
        <v>47</v>
      </c>
    </row>
    <row r="12" customFormat="false" ht="21.75" hidden="false" customHeight="true" outlineLevel="0" collapsed="false">
      <c r="A12" s="20" t="s">
        <v>59</v>
      </c>
      <c r="B12" s="21" t="s">
        <v>60</v>
      </c>
      <c r="C12" s="22"/>
      <c r="D12" s="23"/>
      <c r="E12" s="24" t="s">
        <v>37</v>
      </c>
      <c r="G12" s="20" t="s">
        <v>61</v>
      </c>
      <c r="H12" s="21" t="s">
        <v>62</v>
      </c>
      <c r="I12" s="22"/>
      <c r="J12" s="23"/>
      <c r="K12" s="24" t="s">
        <v>37</v>
      </c>
    </row>
    <row r="13" customFormat="false" ht="21.75" hidden="false" customHeight="true" outlineLevel="0" collapsed="false">
      <c r="A13" s="25"/>
      <c r="B13" s="26" t="s">
        <v>63</v>
      </c>
      <c r="C13" s="22"/>
      <c r="D13" s="23"/>
      <c r="E13" s="24" t="s">
        <v>41</v>
      </c>
      <c r="G13" s="25"/>
      <c r="H13" s="26" t="s">
        <v>64</v>
      </c>
      <c r="I13" s="22"/>
      <c r="J13" s="23"/>
      <c r="K13" s="24" t="s">
        <v>41</v>
      </c>
    </row>
    <row r="14" customFormat="false" ht="21.75" hidden="false" customHeight="true" outlineLevel="0" collapsed="false">
      <c r="A14" s="25"/>
      <c r="B14" s="27" t="s">
        <v>65</v>
      </c>
      <c r="C14" s="22"/>
      <c r="D14" s="23"/>
      <c r="E14" s="24" t="s">
        <v>44</v>
      </c>
      <c r="G14" s="25"/>
      <c r="H14" s="27" t="s">
        <v>66</v>
      </c>
      <c r="I14" s="22"/>
      <c r="J14" s="23"/>
      <c r="K14" s="24" t="s">
        <v>44</v>
      </c>
    </row>
    <row r="15" customFormat="false" ht="21.75" hidden="false" customHeight="true" outlineLevel="0" collapsed="false">
      <c r="A15" s="25"/>
      <c r="B15" s="26" t="s">
        <v>67</v>
      </c>
      <c r="C15" s="22"/>
      <c r="D15" s="23"/>
      <c r="E15" s="24" t="s">
        <v>47</v>
      </c>
      <c r="G15" s="25"/>
      <c r="H15" s="26" t="s">
        <v>68</v>
      </c>
      <c r="I15" s="22"/>
      <c r="J15" s="23"/>
      <c r="K15" s="24" t="s">
        <v>47</v>
      </c>
    </row>
    <row r="16" customFormat="false" ht="21.75" hidden="false" customHeight="true" outlineLevel="0" collapsed="false">
      <c r="A16" s="20" t="s">
        <v>69</v>
      </c>
      <c r="B16" s="21" t="s">
        <v>70</v>
      </c>
      <c r="C16" s="22"/>
      <c r="D16" s="23"/>
      <c r="E16" s="24" t="s">
        <v>37</v>
      </c>
      <c r="G16" s="20" t="s">
        <v>71</v>
      </c>
      <c r="H16" s="21" t="s">
        <v>72</v>
      </c>
      <c r="I16" s="22"/>
      <c r="J16" s="23"/>
      <c r="K16" s="24" t="s">
        <v>37</v>
      </c>
    </row>
    <row r="17" customFormat="false" ht="21.75" hidden="false" customHeight="true" outlineLevel="0" collapsed="false">
      <c r="A17" s="25"/>
      <c r="B17" s="26" t="s">
        <v>73</v>
      </c>
      <c r="C17" s="22"/>
      <c r="D17" s="23"/>
      <c r="E17" s="24" t="s">
        <v>41</v>
      </c>
      <c r="G17" s="25"/>
      <c r="H17" s="26" t="s">
        <v>53</v>
      </c>
      <c r="I17" s="22"/>
      <c r="J17" s="23"/>
      <c r="K17" s="24" t="s">
        <v>41</v>
      </c>
    </row>
    <row r="18" customFormat="false" ht="21.75" hidden="false" customHeight="true" outlineLevel="0" collapsed="false">
      <c r="A18" s="25"/>
      <c r="B18" s="27" t="s">
        <v>74</v>
      </c>
      <c r="C18" s="22"/>
      <c r="D18" s="23"/>
      <c r="E18" s="24" t="s">
        <v>44</v>
      </c>
      <c r="G18" s="25"/>
      <c r="H18" s="27" t="s">
        <v>75</v>
      </c>
      <c r="I18" s="22"/>
      <c r="J18" s="23"/>
      <c r="K18" s="24" t="s">
        <v>44</v>
      </c>
    </row>
    <row r="19" customFormat="false" ht="21.75" hidden="false" customHeight="true" outlineLevel="0" collapsed="false">
      <c r="A19" s="25"/>
      <c r="B19" s="26" t="s">
        <v>76</v>
      </c>
      <c r="C19" s="22"/>
      <c r="D19" s="23"/>
      <c r="E19" s="24" t="s">
        <v>47</v>
      </c>
      <c r="G19" s="25"/>
      <c r="H19" s="26" t="s">
        <v>67</v>
      </c>
      <c r="I19" s="22"/>
      <c r="J19" s="23"/>
      <c r="K19" s="24" t="s">
        <v>47</v>
      </c>
    </row>
    <row r="20" customFormat="false" ht="21.75" hidden="false" customHeight="true" outlineLevel="0" collapsed="false">
      <c r="A20" s="20" t="s">
        <v>77</v>
      </c>
      <c r="B20" s="21" t="s">
        <v>78</v>
      </c>
      <c r="C20" s="22"/>
      <c r="D20" s="23"/>
      <c r="E20" s="24" t="s">
        <v>37</v>
      </c>
      <c r="G20" s="20" t="s">
        <v>79</v>
      </c>
      <c r="H20" s="21" t="s">
        <v>80</v>
      </c>
      <c r="I20" s="22"/>
      <c r="J20" s="23"/>
      <c r="K20" s="24" t="s">
        <v>37</v>
      </c>
    </row>
    <row r="21" customFormat="false" ht="21.75" hidden="false" customHeight="true" outlineLevel="0" collapsed="false">
      <c r="A21" s="25"/>
      <c r="B21" s="26" t="s">
        <v>81</v>
      </c>
      <c r="C21" s="22"/>
      <c r="D21" s="23"/>
      <c r="E21" s="24" t="s">
        <v>41</v>
      </c>
      <c r="G21" s="25"/>
      <c r="H21" s="26" t="s">
        <v>82</v>
      </c>
      <c r="I21" s="22"/>
      <c r="J21" s="23"/>
      <c r="K21" s="24" t="s">
        <v>41</v>
      </c>
    </row>
    <row r="22" customFormat="false" ht="21.75" hidden="false" customHeight="true" outlineLevel="0" collapsed="false">
      <c r="A22" s="25"/>
      <c r="B22" s="27" t="s">
        <v>83</v>
      </c>
      <c r="C22" s="22"/>
      <c r="D22" s="23"/>
      <c r="E22" s="24" t="s">
        <v>44</v>
      </c>
      <c r="G22" s="25"/>
      <c r="H22" s="27" t="s">
        <v>84</v>
      </c>
      <c r="I22" s="22"/>
      <c r="J22" s="23"/>
      <c r="K22" s="24" t="s">
        <v>44</v>
      </c>
    </row>
    <row r="23" customFormat="false" ht="21.75" hidden="false" customHeight="true" outlineLevel="0" collapsed="false">
      <c r="A23" s="25"/>
      <c r="B23" s="26" t="s">
        <v>85</v>
      </c>
      <c r="C23" s="22"/>
      <c r="D23" s="23"/>
      <c r="E23" s="24" t="s">
        <v>47</v>
      </c>
      <c r="G23" s="25"/>
      <c r="H23" s="26" t="s">
        <v>86</v>
      </c>
      <c r="I23" s="22"/>
      <c r="J23" s="23"/>
      <c r="K23" s="24" t="s">
        <v>47</v>
      </c>
    </row>
    <row r="24" customFormat="false" ht="21.75" hidden="false" customHeight="true" outlineLevel="0" collapsed="false">
      <c r="A24" s="20" t="s">
        <v>87</v>
      </c>
      <c r="B24" s="21" t="s">
        <v>88</v>
      </c>
      <c r="C24" s="22"/>
      <c r="D24" s="23"/>
      <c r="E24" s="24" t="s">
        <v>37</v>
      </c>
      <c r="G24" s="20" t="s">
        <v>89</v>
      </c>
      <c r="H24" s="21" t="s">
        <v>90</v>
      </c>
      <c r="I24" s="22"/>
      <c r="J24" s="23"/>
      <c r="K24" s="24" t="s">
        <v>37</v>
      </c>
    </row>
    <row r="25" customFormat="false" ht="21.75" hidden="false" customHeight="true" outlineLevel="0" collapsed="false">
      <c r="A25" s="25"/>
      <c r="B25" s="26" t="s">
        <v>91</v>
      </c>
      <c r="C25" s="22"/>
      <c r="D25" s="23"/>
      <c r="E25" s="24" t="s">
        <v>41</v>
      </c>
      <c r="G25" s="25"/>
      <c r="H25" s="26" t="s">
        <v>92</v>
      </c>
      <c r="I25" s="22"/>
      <c r="J25" s="23"/>
      <c r="K25" s="24" t="s">
        <v>41</v>
      </c>
    </row>
    <row r="26" customFormat="false" ht="21.75" hidden="false" customHeight="true" outlineLevel="0" collapsed="false">
      <c r="A26" s="25"/>
      <c r="B26" s="27" t="s">
        <v>93</v>
      </c>
      <c r="C26" s="22"/>
      <c r="D26" s="23"/>
      <c r="E26" s="24" t="s">
        <v>44</v>
      </c>
      <c r="G26" s="25"/>
      <c r="H26" s="27" t="s">
        <v>94</v>
      </c>
      <c r="I26" s="22"/>
      <c r="J26" s="23"/>
      <c r="K26" s="24" t="s">
        <v>44</v>
      </c>
    </row>
    <row r="27" customFormat="false" ht="21.75" hidden="false" customHeight="true" outlineLevel="0" collapsed="false">
      <c r="A27" s="25"/>
      <c r="B27" s="26" t="s">
        <v>95</v>
      </c>
      <c r="C27" s="22"/>
      <c r="D27" s="23"/>
      <c r="E27" s="24" t="s">
        <v>47</v>
      </c>
      <c r="G27" s="25"/>
      <c r="H27" s="26" t="s">
        <v>85</v>
      </c>
      <c r="I27" s="22"/>
      <c r="J27" s="23"/>
      <c r="K27" s="24" t="s">
        <v>47</v>
      </c>
    </row>
    <row r="28" customFormat="false" ht="21.75" hidden="false" customHeight="true" outlineLevel="0" collapsed="false">
      <c r="A28" s="20" t="s">
        <v>96</v>
      </c>
      <c r="B28" s="21" t="s">
        <v>97</v>
      </c>
      <c r="C28" s="22"/>
      <c r="D28" s="23"/>
      <c r="E28" s="24" t="s">
        <v>37</v>
      </c>
      <c r="G28" s="20" t="s">
        <v>98</v>
      </c>
      <c r="H28" s="21" t="s">
        <v>99</v>
      </c>
      <c r="I28" s="22"/>
      <c r="J28" s="23"/>
      <c r="K28" s="24" t="s">
        <v>37</v>
      </c>
    </row>
    <row r="29" customFormat="false" ht="21.75" hidden="false" customHeight="true" outlineLevel="0" collapsed="false">
      <c r="A29" s="25"/>
      <c r="B29" s="26" t="s">
        <v>100</v>
      </c>
      <c r="C29" s="22"/>
      <c r="D29" s="23"/>
      <c r="E29" s="24" t="s">
        <v>41</v>
      </c>
      <c r="G29" s="25"/>
      <c r="H29" s="26" t="s">
        <v>42</v>
      </c>
      <c r="I29" s="22"/>
      <c r="J29" s="23"/>
      <c r="K29" s="24" t="s">
        <v>41</v>
      </c>
    </row>
    <row r="30" customFormat="false" ht="21.75" hidden="false" customHeight="true" outlineLevel="0" collapsed="false">
      <c r="A30" s="25"/>
      <c r="B30" s="27" t="s">
        <v>101</v>
      </c>
      <c r="C30" s="22"/>
      <c r="D30" s="23"/>
      <c r="E30" s="24" t="s">
        <v>44</v>
      </c>
      <c r="G30" s="25"/>
      <c r="H30" s="27" t="s">
        <v>102</v>
      </c>
      <c r="I30" s="22"/>
      <c r="J30" s="23"/>
      <c r="K30" s="24" t="s">
        <v>44</v>
      </c>
    </row>
    <row r="31" customFormat="false" ht="21.75" hidden="false" customHeight="true" outlineLevel="0" collapsed="false">
      <c r="A31" s="25"/>
      <c r="B31" s="26" t="s">
        <v>103</v>
      </c>
      <c r="C31" s="22"/>
      <c r="D31" s="23"/>
      <c r="E31" s="24" t="s">
        <v>47</v>
      </c>
      <c r="G31" s="25"/>
      <c r="H31" s="26" t="s">
        <v>76</v>
      </c>
      <c r="I31" s="22"/>
      <c r="J31" s="23"/>
      <c r="K31" s="24" t="s">
        <v>47</v>
      </c>
    </row>
    <row r="32" customFormat="false" ht="21.75" hidden="false" customHeight="true" outlineLevel="0" collapsed="false">
      <c r="A32" s="20" t="s">
        <v>104</v>
      </c>
      <c r="B32" s="21" t="s">
        <v>105</v>
      </c>
      <c r="C32" s="22"/>
      <c r="D32" s="23"/>
      <c r="E32" s="24" t="s">
        <v>37</v>
      </c>
      <c r="G32" s="20" t="s">
        <v>106</v>
      </c>
      <c r="H32" s="21" t="s">
        <v>107</v>
      </c>
      <c r="I32" s="22"/>
      <c r="J32" s="23"/>
      <c r="K32" s="24" t="s">
        <v>37</v>
      </c>
    </row>
    <row r="33" customFormat="false" ht="21.75" hidden="false" customHeight="true" outlineLevel="0" collapsed="false">
      <c r="A33" s="25"/>
      <c r="B33" s="26" t="s">
        <v>108</v>
      </c>
      <c r="C33" s="22"/>
      <c r="D33" s="23"/>
      <c r="E33" s="24" t="s">
        <v>41</v>
      </c>
      <c r="G33" s="25"/>
      <c r="H33" s="26" t="s">
        <v>109</v>
      </c>
      <c r="I33" s="22"/>
      <c r="J33" s="23"/>
      <c r="K33" s="24" t="s">
        <v>41</v>
      </c>
    </row>
    <row r="34" customFormat="false" ht="21.75" hidden="false" customHeight="true" outlineLevel="0" collapsed="false">
      <c r="A34" s="25"/>
      <c r="B34" s="27" t="s">
        <v>65</v>
      </c>
      <c r="C34" s="22"/>
      <c r="D34" s="23"/>
      <c r="E34" s="24" t="s">
        <v>44</v>
      </c>
      <c r="G34" s="25"/>
      <c r="H34" s="27" t="s">
        <v>110</v>
      </c>
      <c r="I34" s="22"/>
      <c r="J34" s="23"/>
      <c r="K34" s="24" t="s">
        <v>44</v>
      </c>
    </row>
    <row r="35" customFormat="false" ht="21.75" hidden="false" customHeight="true" outlineLevel="0" collapsed="false">
      <c r="A35" s="25"/>
      <c r="B35" s="26" t="s">
        <v>111</v>
      </c>
      <c r="C35" s="22"/>
      <c r="D35" s="23"/>
      <c r="E35" s="24" t="s">
        <v>47</v>
      </c>
      <c r="G35" s="25"/>
      <c r="H35" s="26" t="s">
        <v>112</v>
      </c>
      <c r="I35" s="22"/>
      <c r="J35" s="23"/>
      <c r="K35" s="24" t="s">
        <v>47</v>
      </c>
    </row>
    <row r="36" customFormat="false" ht="21.75" hidden="false" customHeight="true" outlineLevel="0" collapsed="false">
      <c r="A36" s="20" t="s">
        <v>113</v>
      </c>
      <c r="B36" s="21" t="s">
        <v>114</v>
      </c>
      <c r="C36" s="22"/>
      <c r="D36" s="23"/>
      <c r="E36" s="24" t="s">
        <v>37</v>
      </c>
      <c r="G36" s="20" t="s">
        <v>115</v>
      </c>
      <c r="H36" s="21" t="s">
        <v>116</v>
      </c>
      <c r="I36" s="22"/>
      <c r="J36" s="23"/>
      <c r="K36" s="24" t="s">
        <v>37</v>
      </c>
    </row>
    <row r="37" customFormat="false" ht="21.75" hidden="false" customHeight="true" outlineLevel="0" collapsed="false">
      <c r="A37" s="25"/>
      <c r="B37" s="26" t="s">
        <v>117</v>
      </c>
      <c r="C37" s="22"/>
      <c r="D37" s="23"/>
      <c r="E37" s="24" t="s">
        <v>41</v>
      </c>
      <c r="G37" s="25"/>
      <c r="H37" s="26" t="s">
        <v>53</v>
      </c>
      <c r="I37" s="22"/>
      <c r="J37" s="23"/>
      <c r="K37" s="24" t="s">
        <v>41</v>
      </c>
    </row>
    <row r="38" customFormat="false" ht="21.75" hidden="false" customHeight="true" outlineLevel="0" collapsed="false">
      <c r="A38" s="25"/>
      <c r="B38" s="27" t="s">
        <v>118</v>
      </c>
      <c r="C38" s="22"/>
      <c r="D38" s="23"/>
      <c r="E38" s="24" t="s">
        <v>44</v>
      </c>
      <c r="G38" s="25"/>
      <c r="H38" s="27" t="s">
        <v>119</v>
      </c>
      <c r="I38" s="22"/>
      <c r="J38" s="23"/>
      <c r="K38" s="24" t="s">
        <v>44</v>
      </c>
    </row>
    <row r="39" customFormat="false" ht="21.75" hidden="false" customHeight="true" outlineLevel="0" collapsed="false">
      <c r="A39" s="25"/>
      <c r="B39" s="26" t="s">
        <v>120</v>
      </c>
      <c r="C39" s="22"/>
      <c r="D39" s="23"/>
      <c r="E39" s="24" t="s">
        <v>47</v>
      </c>
      <c r="G39" s="25"/>
      <c r="H39" s="26" t="s">
        <v>121</v>
      </c>
      <c r="I39" s="22"/>
      <c r="J39" s="23"/>
      <c r="K39" s="24" t="s">
        <v>47</v>
      </c>
    </row>
    <row r="40" customFormat="false" ht="21.75" hidden="false" customHeight="true" outlineLevel="0" collapsed="false">
      <c r="A40" s="20" t="s">
        <v>122</v>
      </c>
      <c r="B40" s="21" t="s">
        <v>123</v>
      </c>
      <c r="C40" s="22"/>
      <c r="D40" s="23"/>
      <c r="E40" s="24" t="s">
        <v>37</v>
      </c>
      <c r="G40" s="20" t="s">
        <v>124</v>
      </c>
      <c r="H40" s="21" t="s">
        <v>125</v>
      </c>
      <c r="I40" s="22"/>
      <c r="J40" s="23"/>
      <c r="K40" s="24" t="s">
        <v>37</v>
      </c>
    </row>
    <row r="41" customFormat="false" ht="21.75" hidden="false" customHeight="true" outlineLevel="0" collapsed="false">
      <c r="A41" s="25"/>
      <c r="B41" s="26" t="s">
        <v>126</v>
      </c>
      <c r="C41" s="22"/>
      <c r="D41" s="23"/>
      <c r="E41" s="24" t="s">
        <v>41</v>
      </c>
      <c r="G41" s="25"/>
      <c r="H41" s="26" t="s">
        <v>81</v>
      </c>
      <c r="I41" s="22"/>
      <c r="J41" s="23"/>
      <c r="K41" s="24" t="s">
        <v>41</v>
      </c>
    </row>
    <row r="42" customFormat="false" ht="21.75" hidden="false" customHeight="true" outlineLevel="0" collapsed="false">
      <c r="A42" s="25"/>
      <c r="B42" s="27" t="s">
        <v>127</v>
      </c>
      <c r="C42" s="22"/>
      <c r="D42" s="23"/>
      <c r="E42" s="24" t="s">
        <v>44</v>
      </c>
      <c r="G42" s="25"/>
      <c r="H42" s="27" t="s">
        <v>128</v>
      </c>
      <c r="I42" s="22"/>
      <c r="J42" s="23"/>
      <c r="K42" s="24" t="s">
        <v>44</v>
      </c>
    </row>
    <row r="43" customFormat="false" ht="21.75" hidden="false" customHeight="true" outlineLevel="0" collapsed="false">
      <c r="A43" s="25"/>
      <c r="B43" s="26" t="s">
        <v>129</v>
      </c>
      <c r="C43" s="22"/>
      <c r="D43" s="23"/>
      <c r="E43" s="24" t="s">
        <v>47</v>
      </c>
      <c r="G43" s="25"/>
      <c r="H43" s="26" t="s">
        <v>95</v>
      </c>
      <c r="I43" s="22"/>
      <c r="J43" s="23"/>
      <c r="K43" s="24" t="s">
        <v>47</v>
      </c>
    </row>
    <row r="44" customFormat="false" ht="21.75" hidden="false" customHeight="true" outlineLevel="0" collapsed="false">
      <c r="A44" s="20" t="s">
        <v>130</v>
      </c>
      <c r="B44" s="21" t="s">
        <v>131</v>
      </c>
      <c r="C44" s="22"/>
      <c r="D44" s="23"/>
      <c r="E44" s="24" t="s">
        <v>37</v>
      </c>
      <c r="G44" s="20" t="s">
        <v>132</v>
      </c>
      <c r="H44" s="21" t="s">
        <v>70</v>
      </c>
      <c r="I44" s="22"/>
      <c r="J44" s="23"/>
      <c r="K44" s="24" t="s">
        <v>37</v>
      </c>
    </row>
    <row r="45" customFormat="false" ht="21.75" hidden="false" customHeight="true" outlineLevel="0" collapsed="false">
      <c r="A45" s="25"/>
      <c r="B45" s="26" t="s">
        <v>109</v>
      </c>
      <c r="C45" s="22"/>
      <c r="D45" s="23"/>
      <c r="E45" s="24" t="s">
        <v>41</v>
      </c>
      <c r="G45" s="25"/>
      <c r="H45" s="26" t="s">
        <v>133</v>
      </c>
      <c r="I45" s="22"/>
      <c r="J45" s="23"/>
      <c r="K45" s="24" t="s">
        <v>41</v>
      </c>
    </row>
    <row r="46" customFormat="false" ht="21.75" hidden="false" customHeight="true" outlineLevel="0" collapsed="false">
      <c r="A46" s="25"/>
      <c r="B46" s="27" t="s">
        <v>134</v>
      </c>
      <c r="C46" s="22"/>
      <c r="D46" s="23"/>
      <c r="E46" s="24" t="s">
        <v>44</v>
      </c>
      <c r="G46" s="25"/>
      <c r="H46" s="27" t="s">
        <v>135</v>
      </c>
      <c r="I46" s="22"/>
      <c r="J46" s="23"/>
      <c r="K46" s="24" t="s">
        <v>44</v>
      </c>
    </row>
    <row r="47" customFormat="false" ht="21.75" hidden="false" customHeight="true" outlineLevel="0" collapsed="false">
      <c r="A47" s="25"/>
      <c r="B47" s="26" t="s">
        <v>136</v>
      </c>
      <c r="C47" s="22"/>
      <c r="D47" s="23"/>
      <c r="E47" s="24" t="s">
        <v>47</v>
      </c>
      <c r="G47" s="25"/>
      <c r="H47" s="26" t="s">
        <v>137</v>
      </c>
      <c r="I47" s="22"/>
      <c r="J47" s="23"/>
      <c r="K47" s="24" t="s">
        <v>47</v>
      </c>
    </row>
    <row r="48" customFormat="false" ht="21.75" hidden="false" customHeight="true" outlineLevel="0" collapsed="false">
      <c r="A48" s="20" t="s">
        <v>138</v>
      </c>
      <c r="B48" s="21" t="s">
        <v>139</v>
      </c>
      <c r="C48" s="22"/>
      <c r="D48" s="23"/>
      <c r="E48" s="24" t="s">
        <v>37</v>
      </c>
      <c r="G48" s="20" t="s">
        <v>140</v>
      </c>
      <c r="H48" s="21" t="s">
        <v>141</v>
      </c>
      <c r="I48" s="22"/>
      <c r="J48" s="23"/>
      <c r="K48" s="24" t="s">
        <v>37</v>
      </c>
    </row>
    <row r="49" customFormat="false" ht="21.75" hidden="false" customHeight="true" outlineLevel="0" collapsed="false">
      <c r="A49" s="25"/>
      <c r="B49" s="26" t="s">
        <v>142</v>
      </c>
      <c r="C49" s="22"/>
      <c r="D49" s="23"/>
      <c r="E49" s="24" t="s">
        <v>41</v>
      </c>
      <c r="G49" s="25"/>
      <c r="H49" s="26" t="s">
        <v>143</v>
      </c>
      <c r="I49" s="22"/>
      <c r="J49" s="23"/>
      <c r="K49" s="24" t="s">
        <v>41</v>
      </c>
    </row>
    <row r="50" customFormat="false" ht="21.75" hidden="false" customHeight="true" outlineLevel="0" collapsed="false">
      <c r="A50" s="25"/>
      <c r="B50" s="27" t="s">
        <v>144</v>
      </c>
      <c r="C50" s="22"/>
      <c r="D50" s="23"/>
      <c r="E50" s="24" t="s">
        <v>44</v>
      </c>
      <c r="G50" s="25"/>
      <c r="H50" s="27" t="s">
        <v>145</v>
      </c>
      <c r="I50" s="22"/>
      <c r="J50" s="23"/>
      <c r="K50" s="24" t="s">
        <v>44</v>
      </c>
    </row>
    <row r="51" customFormat="false" ht="21.75" hidden="false" customHeight="true" outlineLevel="0" collapsed="false">
      <c r="A51" s="25"/>
      <c r="B51" s="26" t="s">
        <v>146</v>
      </c>
      <c r="C51" s="22"/>
      <c r="D51" s="23"/>
      <c r="E51" s="24" t="s">
        <v>47</v>
      </c>
      <c r="G51" s="25"/>
      <c r="H51" s="26" t="s">
        <v>120</v>
      </c>
      <c r="I51" s="22"/>
      <c r="J51" s="23"/>
      <c r="K51" s="24" t="s">
        <v>47</v>
      </c>
    </row>
    <row r="52" customFormat="false" ht="21.75" hidden="false" customHeight="true" outlineLevel="0" collapsed="false">
      <c r="A52" s="20" t="s">
        <v>147</v>
      </c>
      <c r="B52" s="21" t="s">
        <v>148</v>
      </c>
      <c r="C52" s="22"/>
      <c r="D52" s="23"/>
      <c r="E52" s="24" t="s">
        <v>37</v>
      </c>
      <c r="G52" s="20" t="s">
        <v>149</v>
      </c>
      <c r="H52" s="21" t="s">
        <v>97</v>
      </c>
      <c r="I52" s="22"/>
      <c r="J52" s="23"/>
      <c r="K52" s="24" t="s">
        <v>37</v>
      </c>
    </row>
    <row r="53" customFormat="false" ht="21.75" hidden="false" customHeight="true" outlineLevel="0" collapsed="false">
      <c r="A53" s="25"/>
      <c r="B53" s="26" t="s">
        <v>150</v>
      </c>
      <c r="C53" s="22"/>
      <c r="D53" s="23"/>
      <c r="E53" s="24" t="s">
        <v>41</v>
      </c>
      <c r="G53" s="25"/>
      <c r="H53" s="26" t="s">
        <v>151</v>
      </c>
      <c r="I53" s="22"/>
      <c r="J53" s="23"/>
      <c r="K53" s="24" t="s">
        <v>41</v>
      </c>
    </row>
    <row r="54" customFormat="false" ht="21.75" hidden="false" customHeight="true" outlineLevel="0" collapsed="false">
      <c r="A54" s="25"/>
      <c r="B54" s="27" t="s">
        <v>152</v>
      </c>
      <c r="C54" s="22"/>
      <c r="D54" s="23"/>
      <c r="E54" s="24" t="s">
        <v>44</v>
      </c>
      <c r="G54" s="25"/>
      <c r="H54" s="27" t="s">
        <v>56</v>
      </c>
      <c r="I54" s="22"/>
      <c r="J54" s="23"/>
      <c r="K54" s="24" t="s">
        <v>44</v>
      </c>
    </row>
    <row r="55" customFormat="false" ht="21.75" hidden="false" customHeight="true" outlineLevel="0" collapsed="false">
      <c r="A55" s="25"/>
      <c r="B55" s="26" t="s">
        <v>153</v>
      </c>
      <c r="C55" s="22"/>
      <c r="D55" s="23"/>
      <c r="E55" s="24" t="s">
        <v>47</v>
      </c>
      <c r="G55" s="25"/>
      <c r="H55" s="26" t="s">
        <v>111</v>
      </c>
      <c r="I55" s="22"/>
      <c r="J55" s="23"/>
      <c r="K55" s="24" t="s">
        <v>47</v>
      </c>
    </row>
    <row r="56" customFormat="false" ht="21.75" hidden="false" customHeight="true" outlineLevel="0" collapsed="false">
      <c r="A56" s="20" t="s">
        <v>154</v>
      </c>
      <c r="B56" s="21" t="s">
        <v>155</v>
      </c>
      <c r="C56" s="22"/>
      <c r="D56" s="23"/>
      <c r="E56" s="24" t="s">
        <v>37</v>
      </c>
      <c r="G56" s="20" t="s">
        <v>156</v>
      </c>
      <c r="H56" s="21" t="s">
        <v>157</v>
      </c>
      <c r="I56" s="22"/>
      <c r="J56" s="23"/>
      <c r="K56" s="24" t="s">
        <v>37</v>
      </c>
    </row>
    <row r="57" customFormat="false" ht="21.75" hidden="false" customHeight="true" outlineLevel="0" collapsed="false">
      <c r="A57" s="25"/>
      <c r="B57" s="26" t="s">
        <v>158</v>
      </c>
      <c r="C57" s="22"/>
      <c r="D57" s="23"/>
      <c r="E57" s="24" t="s">
        <v>41</v>
      </c>
      <c r="G57" s="25"/>
      <c r="H57" s="26" t="s">
        <v>159</v>
      </c>
      <c r="I57" s="22"/>
      <c r="J57" s="23"/>
      <c r="K57" s="24" t="s">
        <v>41</v>
      </c>
    </row>
    <row r="58" customFormat="false" ht="21.75" hidden="false" customHeight="true" outlineLevel="0" collapsed="false">
      <c r="A58" s="25"/>
      <c r="B58" s="27" t="s">
        <v>160</v>
      </c>
      <c r="C58" s="22"/>
      <c r="D58" s="23"/>
      <c r="E58" s="24" t="s">
        <v>44</v>
      </c>
      <c r="G58" s="25"/>
      <c r="H58" s="27" t="s">
        <v>65</v>
      </c>
      <c r="I58" s="22"/>
      <c r="J58" s="23"/>
      <c r="K58" s="24" t="s">
        <v>44</v>
      </c>
    </row>
    <row r="59" customFormat="false" ht="21.75" hidden="false" customHeight="true" outlineLevel="0" collapsed="false">
      <c r="A59" s="25"/>
      <c r="B59" s="26" t="s">
        <v>161</v>
      </c>
      <c r="C59" s="22"/>
      <c r="D59" s="23"/>
      <c r="E59" s="24" t="s">
        <v>47</v>
      </c>
      <c r="G59" s="25"/>
      <c r="H59" s="26" t="s">
        <v>162</v>
      </c>
      <c r="I59" s="22"/>
      <c r="J59" s="23"/>
      <c r="K59" s="24" t="s">
        <v>47</v>
      </c>
    </row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>
      <c r="A62" s="28" t="s">
        <v>163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customFormat="false" ht="21.75" hidden="false" customHeight="true" outlineLevel="0" collapsed="false">
      <c r="A63" s="29" t="s">
        <v>164</v>
      </c>
      <c r="C63" s="30" t="s">
        <v>165</v>
      </c>
      <c r="E63" s="31" t="s">
        <v>166</v>
      </c>
      <c r="G63" s="32" t="s">
        <v>167</v>
      </c>
    </row>
    <row r="64" customFormat="false" ht="21.75" hidden="false" customHeight="true" outlineLevel="0" collapsed="false"/>
    <row r="65" customFormat="false" ht="27.75" hidden="false" customHeight="true" outlineLevel="0" collapsed="false">
      <c r="A65" s="33" t="s">
        <v>168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  <row r="70" customFormat="false" ht="21.75" hidden="false" customHeight="true" outlineLevel="0" collapsed="false"/>
    <row r="71" customFormat="false" ht="21.75" hidden="false" customHeight="true" outlineLevel="0" collapsed="false"/>
    <row r="72" customFormat="false" ht="21.75" hidden="false" customHeight="true" outlineLevel="0" collapsed="false"/>
    <row r="73" customFormat="false" ht="21.75" hidden="false" customHeight="true" outlineLevel="0" collapsed="false"/>
    <row r="74" customFormat="false" ht="21.75" hidden="false" customHeight="true" outlineLevel="0" collapsed="false"/>
    <row r="75" customFormat="false" ht="21.75" hidden="false" customHeight="true" outlineLevel="0" collapsed="false"/>
    <row r="76" customFormat="false" ht="21.75" hidden="false" customHeight="true" outlineLevel="0" collapsed="false"/>
    <row r="77" customFormat="false" ht="21.75" hidden="false" customHeight="true" outlineLevel="0" collapsed="false"/>
    <row r="78" customFormat="false" ht="21.75" hidden="false" customHeight="true" outlineLevel="0" collapsed="false"/>
    <row r="79" customFormat="false" ht="21.75" hidden="false" customHeight="true" outlineLevel="0" collapsed="false"/>
    <row r="80" customFormat="false" ht="21.75" hidden="false" customHeight="true" outlineLevel="0" collapsed="false"/>
    <row r="81" customFormat="false" ht="21.75" hidden="false" customHeight="true" outlineLevel="0" collapsed="false"/>
    <row r="82" customFormat="false" ht="21.75" hidden="false" customHeight="true" outlineLevel="0" collapsed="false"/>
    <row r="83" customFormat="false" ht="21.75" hidden="false" customHeight="true" outlineLevel="0" collapsed="false"/>
    <row r="84" customFormat="false" ht="21.75" hidden="false" customHeight="true" outlineLevel="0" collapsed="false"/>
    <row r="85" customFormat="false" ht="21.75" hidden="false" customHeight="true" outlineLevel="0" collapsed="false"/>
    <row r="86" customFormat="false" ht="21.75" hidden="false" customHeight="true" outlineLevel="0" collapsed="false"/>
    <row r="87" customFormat="false" ht="21.75" hidden="false" customHeight="true" outlineLevel="0" collapsed="false"/>
    <row r="88" customFormat="false" ht="21.75" hidden="false" customHeight="true" outlineLevel="0" collapsed="false"/>
    <row r="89" customFormat="false" ht="21.75" hidden="false" customHeight="true" outlineLevel="0" collapsed="false"/>
    <row r="90" customFormat="false" ht="21.75" hidden="false" customHeight="true" outlineLevel="0" collapsed="false"/>
    <row r="91" customFormat="false" ht="21.75" hidden="false" customHeight="true" outlineLevel="0" collapsed="false"/>
    <row r="92" customFormat="false" ht="21.75" hidden="false" customHeight="true" outlineLevel="0" collapsed="false"/>
    <row r="93" customFormat="false" ht="21.75" hidden="false" customHeight="true" outlineLevel="0" collapsed="false"/>
    <row r="94" customFormat="false" ht="21.75" hidden="false" customHeight="true" outlineLevel="0" collapsed="false"/>
    <row r="95" customFormat="false" ht="21.75" hidden="false" customHeight="true" outlineLevel="0" collapsed="false"/>
    <row r="96" customFormat="false" ht="21.75" hidden="false" customHeight="true" outlineLevel="0" collapsed="false"/>
    <row r="97" customFormat="false" ht="21.75" hidden="false" customHeight="true" outlineLevel="0" collapsed="false"/>
    <row r="98" customFormat="false" ht="21.75" hidden="false" customHeight="true" outlineLevel="0" collapsed="false"/>
    <row r="99" customFormat="false" ht="21.75" hidden="false" customHeight="true" outlineLevel="0" collapsed="false"/>
    <row r="100" customFormat="false" ht="21.75" hidden="false" customHeight="true" outlineLevel="0" collapsed="false"/>
    <row r="101" customFormat="false" ht="21.75" hidden="false" customHeight="true" outlineLevel="0" collapsed="false"/>
    <row r="102" customFormat="false" ht="21.75" hidden="false" customHeight="true" outlineLevel="0" collapsed="false"/>
    <row r="103" customFormat="false" ht="21.75" hidden="false" customHeight="true" outlineLevel="0" collapsed="false"/>
    <row r="104" customFormat="false" ht="21.75" hidden="false" customHeight="true" outlineLevel="0" collapsed="false"/>
    <row r="105" customFormat="false" ht="21.75" hidden="false" customHeight="true" outlineLevel="0" collapsed="false"/>
    <row r="106" customFormat="false" ht="21.75" hidden="false" customHeight="true" outlineLevel="0" collapsed="false"/>
    <row r="107" customFormat="false" ht="21.75" hidden="false" customHeight="true" outlineLevel="0" collapsed="false"/>
    <row r="108" customFormat="false" ht="21.75" hidden="false" customHeight="true" outlineLevel="0" collapsed="false"/>
    <row r="109" customFormat="false" ht="21.75" hidden="false" customHeight="true" outlineLevel="0" collapsed="false"/>
    <row r="110" customFormat="false" ht="21.75" hidden="false" customHeight="true" outlineLevel="0" collapsed="false"/>
    <row r="111" customFormat="false" ht="21.75" hidden="false" customHeight="true" outlineLevel="0" collapsed="false"/>
    <row r="112" customFormat="false" ht="21.75" hidden="false" customHeight="true" outlineLevel="0" collapsed="false"/>
    <row r="113" customFormat="false" ht="21.75" hidden="false" customHeight="true" outlineLevel="0" collapsed="false"/>
    <row r="114" customFormat="false" ht="21.75" hidden="false" customHeight="true" outlineLevel="0" collapsed="false"/>
    <row r="115" customFormat="false" ht="21.75" hidden="false" customHeight="true" outlineLevel="0" collapsed="false"/>
  </sheetData>
  <mergeCells count="4">
    <mergeCell ref="A1:K1"/>
    <mergeCell ref="A2:K2"/>
    <mergeCell ref="A62:K62"/>
    <mergeCell ref="A65:K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6" min="3" style="1" width="15"/>
    <col collapsed="false" customWidth="true" hidden="false" outlineLevel="0" max="7" min="7" style="1" width="3"/>
    <col collapsed="false" customWidth="true" hidden="false" outlineLevel="0" max="8" min="8" style="1" width="35"/>
    <col collapsed="false" customWidth="true" hidden="false" outlineLevel="0" max="9" min="9" style="1" width="20"/>
  </cols>
  <sheetData>
    <row r="1" customFormat="false" ht="49.5" hidden="false" customHeight="true" outlineLevel="0" collapsed="false">
      <c r="A1" s="17" t="s">
        <v>169</v>
      </c>
      <c r="B1" s="17"/>
      <c r="C1" s="17"/>
      <c r="D1" s="17"/>
      <c r="E1" s="17"/>
      <c r="F1" s="17"/>
      <c r="G1" s="17"/>
      <c r="H1" s="17"/>
      <c r="I1" s="17"/>
    </row>
    <row r="2" customFormat="false" ht="24.75" hidden="false" customHeight="true" outlineLevel="0" collapsed="false">
      <c r="A2" s="34" t="s">
        <v>170</v>
      </c>
      <c r="B2" s="34"/>
      <c r="C2" s="34"/>
      <c r="D2" s="34"/>
      <c r="E2" s="34"/>
      <c r="F2" s="34"/>
      <c r="G2" s="34"/>
      <c r="H2" s="34"/>
      <c r="I2" s="34"/>
    </row>
    <row r="4" customFormat="false" ht="27.75" hidden="false" customHeight="true" outlineLevel="0" collapsed="false">
      <c r="B4" s="35" t="s">
        <v>171</v>
      </c>
      <c r="C4" s="35"/>
      <c r="D4" s="35"/>
      <c r="E4" s="35"/>
      <c r="F4" s="35"/>
    </row>
    <row r="5" customFormat="false" ht="24.75" hidden="false" customHeight="true" outlineLevel="0" collapsed="false">
      <c r="B5" s="36" t="s">
        <v>172</v>
      </c>
      <c r="C5" s="36" t="s">
        <v>173</v>
      </c>
      <c r="D5" s="36" t="s">
        <v>174</v>
      </c>
      <c r="E5" s="36" t="s">
        <v>175</v>
      </c>
      <c r="F5" s="36" t="s">
        <v>176</v>
      </c>
    </row>
    <row r="6" customFormat="false" ht="30" hidden="false" customHeight="true" outlineLevel="0" collapsed="false">
      <c r="B6" s="37" t="s">
        <v>177</v>
      </c>
      <c r="C6" s="38" t="n">
        <f aca="false">COUNTIFS('📝 DISC Test'!E4:E59,"D",'📝 DISC Test'!C4:C59,"X")+COUNTIFS('📝 DISC Test'!K4:K59,"D",'📝 DISC Test'!I4:I59,"X")</f>
        <v>0</v>
      </c>
      <c r="D6" s="39" t="n">
        <f aca="false">COUNTIFS('📝 DISC Test'!E4:E59,"D",'📝 DISC Test'!D4:D59,"X")+COUNTIFS('📝 DISC Test'!K4:K59,"D",'📝 DISC Test'!J4:J59,"X")</f>
        <v>0</v>
      </c>
      <c r="E6" s="40" t="n">
        <f aca="false">C6-D6</f>
        <v>0</v>
      </c>
      <c r="F6" s="41" t="n">
        <f aca="false">IF(SUM(E6:E9)&lt;&gt;0,E6/SUM($E$6:$E$9),0)</f>
        <v>0</v>
      </c>
    </row>
    <row r="7" customFormat="false" ht="30" hidden="false" customHeight="true" outlineLevel="0" collapsed="false">
      <c r="B7" s="42" t="s">
        <v>178</v>
      </c>
      <c r="C7" s="38" t="n">
        <f aca="false">COUNTIFS('📝 DISC Test'!E4:E59,"I",'📝 DISC Test'!C4:C59,"X")+COUNTIFS('📝 DISC Test'!K4:K59,"I",'📝 DISC Test'!I4:I59,"X")</f>
        <v>0</v>
      </c>
      <c r="D7" s="39" t="n">
        <f aca="false">COUNTIFS('📝 DISC Test'!E4:E59,"I",'📝 DISC Test'!D4:D59,"X")+COUNTIFS('📝 DISC Test'!K4:K59,"I",'📝 DISC Test'!J4:J59,"X")</f>
        <v>0</v>
      </c>
      <c r="E7" s="43" t="n">
        <f aca="false">C7-D7</f>
        <v>0</v>
      </c>
      <c r="F7" s="41" t="n">
        <f aca="false">IF(SUM(E6:E9)&lt;&gt;0,E7/SUM($E$6:$E$9),0)</f>
        <v>0</v>
      </c>
    </row>
    <row r="8" customFormat="false" ht="30" hidden="false" customHeight="true" outlineLevel="0" collapsed="false">
      <c r="B8" s="44" t="s">
        <v>179</v>
      </c>
      <c r="C8" s="38" t="n">
        <f aca="false">COUNTIFS('📝 DISC Test'!E4:E59,"S",'📝 DISC Test'!C4:C59,"X")+COUNTIFS('📝 DISC Test'!K4:K59,"S",'📝 DISC Test'!I4:I59,"X")</f>
        <v>0</v>
      </c>
      <c r="D8" s="39" t="n">
        <f aca="false">COUNTIFS('📝 DISC Test'!E4:E59,"S",'📝 DISC Test'!D4:D59,"X")+COUNTIFS('📝 DISC Test'!K4:K59,"S",'📝 DISC Test'!J4:J59,"X")</f>
        <v>0</v>
      </c>
      <c r="E8" s="45" t="n">
        <f aca="false">C8-D8</f>
        <v>0</v>
      </c>
      <c r="F8" s="41" t="n">
        <f aca="false">IF(SUM(E6:E9)&lt;&gt;0,E8/SUM($E$6:$E$9),0)</f>
        <v>0</v>
      </c>
    </row>
    <row r="9" customFormat="false" ht="30" hidden="false" customHeight="true" outlineLevel="0" collapsed="false">
      <c r="B9" s="46" t="s">
        <v>180</v>
      </c>
      <c r="C9" s="38" t="n">
        <f aca="false">COUNTIFS('📝 DISC Test'!E4:E59,"C",'📝 DISC Test'!C4:C59,"X")+COUNTIFS('📝 DISC Test'!K4:K59,"C",'📝 DISC Test'!I4:I59,"X")</f>
        <v>0</v>
      </c>
      <c r="D9" s="39" t="n">
        <f aca="false">COUNTIFS('📝 DISC Test'!E4:E59,"C",'📝 DISC Test'!D4:D59,"X")+COUNTIFS('📝 DISC Test'!K4:K59,"C",'📝 DISC Test'!J4:J59,"X")</f>
        <v>0</v>
      </c>
      <c r="E9" s="47" t="n">
        <f aca="false">C9-D9</f>
        <v>0</v>
      </c>
      <c r="F9" s="41" t="n">
        <f aca="false">IF(SUM(E6:E9)&lt;&gt;0,E9/SUM($E$6:$E$9),0)</f>
        <v>0</v>
      </c>
    </row>
    <row r="10" customFormat="false" ht="24.75" hidden="false" customHeight="true" outlineLevel="0" collapsed="false">
      <c r="B10" s="48" t="s">
        <v>181</v>
      </c>
      <c r="C10" s="49" t="n">
        <f aca="false">SUM(C6:C9)</f>
        <v>0</v>
      </c>
      <c r="D10" s="49" t="n">
        <f aca="false">SUM(D6:D9)</f>
        <v>0</v>
      </c>
      <c r="E10" s="49" t="n">
        <f aca="false">SUM(E6:E9)</f>
        <v>0</v>
      </c>
      <c r="F10" s="48" t="s">
        <v>182</v>
      </c>
    </row>
    <row r="12" customFormat="false" ht="27.75" hidden="false" customHeight="true" outlineLevel="0" collapsed="false">
      <c r="B12" s="35" t="s">
        <v>183</v>
      </c>
      <c r="C12" s="35"/>
      <c r="D12" s="35"/>
      <c r="E12" s="35"/>
      <c r="F12" s="35"/>
    </row>
    <row r="13" customFormat="false" ht="34.5" hidden="false" customHeight="true" outlineLevel="0" collapsed="false">
      <c r="B13" s="50" t="s">
        <v>184</v>
      </c>
      <c r="C13" s="51" t="str">
        <f aca="false">IF(MAX(E6:E9)=E6,"D — Dominance",IF(MAX(E6:E9)=E7,"I — Influence",IF(MAX(E6:E9)=E8,"S — Steadiness","C — Conscientiousness")))</f>
        <v>D — Dominance</v>
      </c>
      <c r="D13" s="51"/>
      <c r="E13" s="51"/>
      <c r="F13" s="51"/>
    </row>
    <row r="14" customFormat="false" ht="34.5" hidden="false" customHeight="true" outlineLevel="0" collapsed="false">
      <c r="B14" s="50" t="s">
        <v>185</v>
      </c>
      <c r="C14" s="52" t="str">
        <f aca="false">IF(LARGE(E6:E9,2)=E6,"D — Dominance",IF(LARGE(E6:E9,2)=E7,"I — Influence",IF(LARGE(E6:E9,2)=E8,"S — Steadiness","C — Conscientiousness")))</f>
        <v>D — Dominance</v>
      </c>
      <c r="D14" s="52"/>
      <c r="E14" s="52"/>
      <c r="F14" s="52"/>
    </row>
    <row r="16" customFormat="false" ht="27.75" hidden="false" customHeight="true" outlineLevel="0" collapsed="false">
      <c r="B16" s="35" t="s">
        <v>186</v>
      </c>
      <c r="C16" s="35"/>
      <c r="D16" s="35"/>
      <c r="E16" s="35"/>
      <c r="F16" s="35"/>
    </row>
    <row r="17" customFormat="false" ht="24.75" hidden="false" customHeight="true" outlineLevel="0" collapsed="false">
      <c r="B17" s="36" t="s">
        <v>187</v>
      </c>
      <c r="C17" s="36" t="s">
        <v>188</v>
      </c>
      <c r="D17" s="36" t="s">
        <v>189</v>
      </c>
      <c r="E17" s="36" t="s">
        <v>190</v>
      </c>
    </row>
    <row r="18" customFormat="false" ht="34.5" hidden="false" customHeight="true" outlineLevel="0" collapsed="false">
      <c r="B18" s="53" t="s">
        <v>191</v>
      </c>
      <c r="C18" s="54" t="n">
        <f aca="false">ROUND((F9*0.5 + F6*0.3 + (1-F7)*0.1 + (1-F8)*0.1)*100,1)</f>
        <v>20</v>
      </c>
      <c r="D18" s="55" t="str">
        <f aca="false">IF(C18&gt;=70,"✅ SANGAT COCOK",IF(C18&gt;=55,"🟡 CUKUP COCOK","❌ KURANG COCOK"))</f>
        <v>❌ KURANG COCOK</v>
      </c>
      <c r="E18" s="56" t="s">
        <v>192</v>
      </c>
      <c r="F18" s="56"/>
    </row>
    <row r="19" customFormat="false" ht="34.5" hidden="false" customHeight="true" outlineLevel="0" collapsed="false">
      <c r="B19" s="57" t="s">
        <v>193</v>
      </c>
      <c r="C19" s="54" t="n">
        <f aca="false">ROUND((F7*0.5 + F8*0.3 + (1-F6)*0.1 + (1-F9)*0.1)*100,1)</f>
        <v>20</v>
      </c>
      <c r="D19" s="58" t="str">
        <f aca="false">IF(C19&gt;=70,"✅ SANGAT COCOK",IF(C19&gt;=55,"🟡 CUKUP COCOK","❌ KURANG COCOK"))</f>
        <v>❌ KURANG COCOK</v>
      </c>
      <c r="E19" s="59" t="s">
        <v>194</v>
      </c>
      <c r="F19" s="59"/>
    </row>
    <row r="20" customFormat="false" ht="34.5" hidden="false" customHeight="true" outlineLevel="0" collapsed="false">
      <c r="B20" s="53" t="s">
        <v>195</v>
      </c>
      <c r="C20" s="54" t="n">
        <f aca="false">ROUND((F6*0.45 + F7*0.35 + (1-F8)*0.1 + (1-F9)*0.1)*100,1)</f>
        <v>20</v>
      </c>
      <c r="D20" s="55" t="str">
        <f aca="false">IF(C20&gt;=70,"✅ SANGAT COCOK",IF(C20&gt;=55,"🟡 CUKUP COCOK","❌ KURANG COCOK"))</f>
        <v>❌ KURANG COCOK</v>
      </c>
      <c r="E20" s="56" t="s">
        <v>196</v>
      </c>
      <c r="F20" s="56"/>
    </row>
    <row r="21" customFormat="false" ht="34.5" hidden="false" customHeight="true" outlineLevel="0" collapsed="false">
      <c r="B21" s="57" t="s">
        <v>197</v>
      </c>
      <c r="C21" s="54" t="n">
        <f aca="false">ROUND((F7*0.5 + F6*0.3 + (1-F8)*0.1 + (1-F9)*0.1)*100,1)</f>
        <v>20</v>
      </c>
      <c r="D21" s="58" t="str">
        <f aca="false">IF(C21&gt;=70,"✅ SANGAT COCOK",IF(C21&gt;=55,"🟡 CUKUP COCOK","❌ KURANG COCOK"))</f>
        <v>❌ KURANG COCOK</v>
      </c>
      <c r="E21" s="59" t="s">
        <v>198</v>
      </c>
      <c r="F21" s="59"/>
    </row>
    <row r="23" customFormat="false" ht="27.75" hidden="false" customHeight="true" outlineLevel="0" collapsed="false">
      <c r="B23" s="60" t="s">
        <v>199</v>
      </c>
      <c r="C23" s="60"/>
      <c r="D23" s="60"/>
      <c r="E23" s="60"/>
      <c r="F23" s="60"/>
    </row>
    <row r="24" customFormat="false" ht="39.75" hidden="false" customHeight="true" outlineLevel="0" collapsed="false">
      <c r="B24" s="50" t="s">
        <v>200</v>
      </c>
      <c r="C24" s="61" t="str">
        <f aca="false">IF(MAX(C18:C21)=C18,"Legal Officer (LO)",IF(MAX(C18:C21)=C19,"Customer Care / CRM",IF(MAX(C18:C21)=C20,"PLA (Pre-Closing Lead Agent)","Marketing")))</f>
        <v>Legal Officer (LO)</v>
      </c>
      <c r="D24" s="61"/>
      <c r="E24" s="61"/>
      <c r="F24" s="61"/>
    </row>
    <row r="25" customFormat="false" ht="30" hidden="false" customHeight="true" outlineLevel="0" collapsed="false">
      <c r="B25" s="50" t="s">
        <v>201</v>
      </c>
      <c r="C25" s="62" t="n">
        <f aca="false">MAX(C18:C21)</f>
        <v>20</v>
      </c>
      <c r="D25" s="62"/>
      <c r="E25" s="62"/>
      <c r="F25" s="62"/>
    </row>
    <row r="27" customFormat="false" ht="24.75" hidden="false" customHeight="true" outlineLevel="0" collapsed="false">
      <c r="B27" s="63" t="s">
        <v>202</v>
      </c>
      <c r="C27" s="63"/>
      <c r="D27" s="63"/>
      <c r="E27" s="63"/>
      <c r="F27" s="63"/>
    </row>
    <row r="28" customFormat="false" ht="21.75" hidden="false" customHeight="true" outlineLevel="0" collapsed="false">
      <c r="B28" s="64"/>
      <c r="C28" s="64"/>
      <c r="D28" s="64"/>
      <c r="E28" s="64"/>
      <c r="F28" s="64"/>
    </row>
    <row r="29" customFormat="false" ht="21.75" hidden="false" customHeight="true" outlineLevel="0" collapsed="false">
      <c r="B29" s="64"/>
      <c r="C29" s="64"/>
      <c r="D29" s="64"/>
      <c r="E29" s="64"/>
      <c r="F29" s="64"/>
    </row>
    <row r="30" customFormat="false" ht="21.75" hidden="false" customHeight="true" outlineLevel="0" collapsed="false">
      <c r="B30" s="64"/>
      <c r="C30" s="64"/>
      <c r="D30" s="64"/>
      <c r="E30" s="64"/>
      <c r="F30" s="64"/>
    </row>
    <row r="31" customFormat="false" ht="21.75" hidden="false" customHeight="true" outlineLevel="0" collapsed="false">
      <c r="B31" s="64"/>
      <c r="C31" s="64"/>
      <c r="D31" s="64"/>
      <c r="E31" s="64"/>
      <c r="F31" s="64"/>
    </row>
    <row r="32" customFormat="false" ht="21.75" hidden="false" customHeight="true" outlineLevel="0" collapsed="false">
      <c r="B32" s="64"/>
      <c r="C32" s="64"/>
      <c r="D32" s="64"/>
      <c r="E32" s="64"/>
      <c r="F32" s="64"/>
    </row>
    <row r="34" customFormat="false" ht="30" hidden="false" customHeight="true" outlineLevel="0" collapsed="false">
      <c r="B34" s="65" t="s">
        <v>203</v>
      </c>
      <c r="C34" s="65"/>
      <c r="D34" s="65"/>
      <c r="E34" s="65"/>
      <c r="F34" s="65"/>
    </row>
  </sheetData>
  <mergeCells count="21">
    <mergeCell ref="A1:I1"/>
    <mergeCell ref="A2:I2"/>
    <mergeCell ref="B4:F4"/>
    <mergeCell ref="B12:F12"/>
    <mergeCell ref="C13:F13"/>
    <mergeCell ref="C14:F14"/>
    <mergeCell ref="B16:F16"/>
    <mergeCell ref="E18:F18"/>
    <mergeCell ref="E19:F19"/>
    <mergeCell ref="E20:F20"/>
    <mergeCell ref="E21:F21"/>
    <mergeCell ref="B23:F23"/>
    <mergeCell ref="C24:F24"/>
    <mergeCell ref="C25:F25"/>
    <mergeCell ref="B27:F27"/>
    <mergeCell ref="B28:F28"/>
    <mergeCell ref="B29:F29"/>
    <mergeCell ref="B30:F30"/>
    <mergeCell ref="B31:F31"/>
    <mergeCell ref="B32:F32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"/>
  </cols>
  <sheetData>
    <row r="1" customFormat="false" ht="54.75" hidden="false" customHeight="true" outlineLevel="0" collapsed="false">
      <c r="B1" s="66" t="s">
        <v>204</v>
      </c>
      <c r="C1" s="66"/>
      <c r="D1" s="66"/>
    </row>
    <row r="2" customFormat="false" ht="27.75" hidden="false" customHeight="true" outlineLevel="0" collapsed="false">
      <c r="B2" s="34" t="s">
        <v>205</v>
      </c>
      <c r="C2" s="34"/>
      <c r="D2" s="34"/>
    </row>
    <row r="4" customFormat="false" ht="34.5" hidden="false" customHeight="true" outlineLevel="0" collapsed="false">
      <c r="B4" s="67" t="s">
        <v>206</v>
      </c>
      <c r="C4" s="67"/>
      <c r="D4" s="67"/>
    </row>
    <row r="5" customFormat="false" ht="31.5" hidden="false" customHeight="true" outlineLevel="0" collapsed="false">
      <c r="B5" s="68" t="s">
        <v>207</v>
      </c>
      <c r="C5" s="69" t="s">
        <v>208</v>
      </c>
      <c r="D5" s="69"/>
    </row>
    <row r="6" customFormat="false" ht="31.5" hidden="false" customHeight="true" outlineLevel="0" collapsed="false">
      <c r="B6" s="70" t="s">
        <v>209</v>
      </c>
      <c r="C6" s="71" t="s">
        <v>210</v>
      </c>
      <c r="D6" s="71"/>
    </row>
    <row r="7" customFormat="false" ht="31.5" hidden="false" customHeight="true" outlineLevel="0" collapsed="false">
      <c r="B7" s="68" t="s">
        <v>211</v>
      </c>
      <c r="C7" s="69" t="s">
        <v>212</v>
      </c>
      <c r="D7" s="69"/>
    </row>
    <row r="8" customFormat="false" ht="31.5" hidden="false" customHeight="true" outlineLevel="0" collapsed="false">
      <c r="B8" s="70" t="s">
        <v>213</v>
      </c>
      <c r="C8" s="71" t="s">
        <v>214</v>
      </c>
      <c r="D8" s="71"/>
    </row>
    <row r="9" customFormat="false" ht="31.5" hidden="false" customHeight="true" outlineLevel="0" collapsed="false">
      <c r="B9" s="68" t="s">
        <v>215</v>
      </c>
      <c r="C9" s="69" t="s">
        <v>216</v>
      </c>
      <c r="D9" s="69"/>
    </row>
    <row r="10" customFormat="false" ht="31.5" hidden="false" customHeight="true" outlineLevel="0" collapsed="false">
      <c r="B10" s="70" t="s">
        <v>217</v>
      </c>
      <c r="C10" s="71" t="s">
        <v>218</v>
      </c>
      <c r="D10" s="71"/>
    </row>
    <row r="11" customFormat="false" ht="31.5" hidden="false" customHeight="true" outlineLevel="0" collapsed="false">
      <c r="B11" s="68" t="s">
        <v>219</v>
      </c>
      <c r="C11" s="69" t="s">
        <v>220</v>
      </c>
      <c r="D11" s="69"/>
    </row>
    <row r="12" customFormat="false" ht="31.5" hidden="false" customHeight="true" outlineLevel="0" collapsed="false">
      <c r="B12" s="70" t="s">
        <v>221</v>
      </c>
      <c r="C12" s="71" t="s">
        <v>222</v>
      </c>
      <c r="D12" s="71"/>
    </row>
    <row r="14" customFormat="false" ht="34.5" hidden="false" customHeight="true" outlineLevel="0" collapsed="false">
      <c r="B14" s="72" t="s">
        <v>223</v>
      </c>
      <c r="C14" s="72"/>
      <c r="D14" s="72"/>
    </row>
    <row r="15" customFormat="false" ht="31.5" hidden="false" customHeight="true" outlineLevel="0" collapsed="false">
      <c r="B15" s="73" t="s">
        <v>224</v>
      </c>
      <c r="C15" s="74" t="s">
        <v>225</v>
      </c>
      <c r="D15" s="74"/>
    </row>
    <row r="16" customFormat="false" ht="31.5" hidden="false" customHeight="true" outlineLevel="0" collapsed="false">
      <c r="B16" s="75" t="s">
        <v>226</v>
      </c>
      <c r="C16" s="76" t="s">
        <v>227</v>
      </c>
      <c r="D16" s="76"/>
    </row>
    <row r="17" customFormat="false" ht="31.5" hidden="false" customHeight="true" outlineLevel="0" collapsed="false">
      <c r="B17" s="73" t="s">
        <v>228</v>
      </c>
      <c r="C17" s="74" t="s">
        <v>229</v>
      </c>
      <c r="D17" s="74"/>
    </row>
    <row r="18" customFormat="false" ht="31.5" hidden="false" customHeight="true" outlineLevel="0" collapsed="false">
      <c r="B18" s="75" t="s">
        <v>230</v>
      </c>
      <c r="C18" s="76" t="s">
        <v>231</v>
      </c>
      <c r="D18" s="76"/>
    </row>
    <row r="19" customFormat="false" ht="31.5" hidden="false" customHeight="true" outlineLevel="0" collapsed="false">
      <c r="B19" s="73" t="s">
        <v>232</v>
      </c>
      <c r="C19" s="74" t="s">
        <v>233</v>
      </c>
      <c r="D19" s="74"/>
    </row>
    <row r="20" customFormat="false" ht="31.5" hidden="false" customHeight="true" outlineLevel="0" collapsed="false">
      <c r="B20" s="75" t="s">
        <v>213</v>
      </c>
      <c r="C20" s="76" t="s">
        <v>234</v>
      </c>
      <c r="D20" s="76"/>
    </row>
    <row r="21" customFormat="false" ht="31.5" hidden="false" customHeight="true" outlineLevel="0" collapsed="false">
      <c r="B21" s="73" t="s">
        <v>217</v>
      </c>
      <c r="C21" s="74" t="s">
        <v>235</v>
      </c>
      <c r="D21" s="74"/>
    </row>
    <row r="22" customFormat="false" ht="31.5" hidden="false" customHeight="true" outlineLevel="0" collapsed="false">
      <c r="B22" s="75" t="s">
        <v>219</v>
      </c>
      <c r="C22" s="76" t="s">
        <v>236</v>
      </c>
      <c r="D22" s="76"/>
    </row>
    <row r="23" customFormat="false" ht="31.5" hidden="false" customHeight="true" outlineLevel="0" collapsed="false">
      <c r="B23" s="73" t="s">
        <v>237</v>
      </c>
      <c r="C23" s="74" t="s">
        <v>238</v>
      </c>
      <c r="D23" s="74"/>
    </row>
    <row r="24" customFormat="false" ht="31.5" hidden="false" customHeight="true" outlineLevel="0" collapsed="false">
      <c r="B24" s="75" t="s">
        <v>239</v>
      </c>
      <c r="C24" s="76" t="s">
        <v>240</v>
      </c>
      <c r="D24" s="76"/>
    </row>
    <row r="26" customFormat="false" ht="34.5" hidden="false" customHeight="true" outlineLevel="0" collapsed="false">
      <c r="B26" s="77" t="s">
        <v>241</v>
      </c>
      <c r="C26" s="77"/>
      <c r="D26" s="77"/>
    </row>
    <row r="27" customFormat="false" ht="30" hidden="false" customHeight="true" outlineLevel="0" collapsed="false">
      <c r="B27" s="78" t="s">
        <v>242</v>
      </c>
      <c r="C27" s="79" t="s">
        <v>243</v>
      </c>
      <c r="D27" s="79"/>
    </row>
    <row r="28" customFormat="false" ht="30" hidden="false" customHeight="true" outlineLevel="0" collapsed="false">
      <c r="B28" s="80" t="s">
        <v>244</v>
      </c>
      <c r="C28" s="81" t="s">
        <v>245</v>
      </c>
      <c r="D28" s="81"/>
    </row>
    <row r="29" customFormat="false" ht="30" hidden="false" customHeight="true" outlineLevel="0" collapsed="false">
      <c r="B29" s="78" t="s">
        <v>246</v>
      </c>
      <c r="C29" s="79" t="s">
        <v>247</v>
      </c>
      <c r="D29" s="79"/>
    </row>
    <row r="30" customFormat="false" ht="30" hidden="false" customHeight="true" outlineLevel="0" collapsed="false">
      <c r="B30" s="80" t="s">
        <v>248</v>
      </c>
      <c r="C30" s="81" t="s">
        <v>249</v>
      </c>
      <c r="D30" s="81"/>
    </row>
    <row r="31" customFormat="false" ht="30" hidden="false" customHeight="true" outlineLevel="0" collapsed="false">
      <c r="B31" s="78" t="s">
        <v>250</v>
      </c>
      <c r="C31" s="79" t="s">
        <v>251</v>
      </c>
      <c r="D31" s="79"/>
    </row>
    <row r="32" customFormat="false" ht="30" hidden="false" customHeight="true" outlineLevel="0" collapsed="false">
      <c r="B32" s="82"/>
      <c r="C32" s="81" t="s">
        <v>252</v>
      </c>
      <c r="D32" s="81"/>
    </row>
    <row r="33" customFormat="false" ht="30" hidden="false" customHeight="true" outlineLevel="0" collapsed="false">
      <c r="B33" s="83"/>
      <c r="C33" s="79" t="s">
        <v>253</v>
      </c>
      <c r="D33" s="79"/>
    </row>
    <row r="34" customFormat="false" ht="30" hidden="false" customHeight="true" outlineLevel="0" collapsed="false">
      <c r="B34" s="80" t="s">
        <v>254</v>
      </c>
      <c r="C34" s="81" t="s">
        <v>255</v>
      </c>
      <c r="D34" s="81"/>
    </row>
    <row r="35" customFormat="false" ht="30" hidden="false" customHeight="true" outlineLevel="0" collapsed="false">
      <c r="B35" s="83"/>
      <c r="C35" s="79" t="s">
        <v>256</v>
      </c>
      <c r="D35" s="79"/>
    </row>
    <row r="36" customFormat="false" ht="30" hidden="false" customHeight="true" outlineLevel="0" collapsed="false">
      <c r="B36" s="82"/>
      <c r="C36" s="81" t="s">
        <v>257</v>
      </c>
      <c r="D36" s="81"/>
    </row>
    <row r="37" customFormat="false" ht="30" hidden="false" customHeight="true" outlineLevel="0" collapsed="false">
      <c r="B37" s="78" t="s">
        <v>258</v>
      </c>
      <c r="C37" s="79" t="s">
        <v>259</v>
      </c>
      <c r="D37" s="79"/>
    </row>
    <row r="39" customFormat="false" ht="34.5" hidden="false" customHeight="true" outlineLevel="0" collapsed="false">
      <c r="B39" s="84" t="s">
        <v>260</v>
      </c>
      <c r="C39" s="84"/>
      <c r="D39" s="84"/>
    </row>
  </sheetData>
  <mergeCells count="35">
    <mergeCell ref="B1:D1"/>
    <mergeCell ref="B2:D2"/>
    <mergeCell ref="B4:D4"/>
    <mergeCell ref="C5:D5"/>
    <mergeCell ref="C6:D6"/>
    <mergeCell ref="C7:D7"/>
    <mergeCell ref="C8:D8"/>
    <mergeCell ref="C9:D9"/>
    <mergeCell ref="C10:D10"/>
    <mergeCell ref="C11:D11"/>
    <mergeCell ref="C12:D12"/>
    <mergeCell ref="B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B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7" min="4" style="0" width="10"/>
    <col collapsed="false" customWidth="true" hidden="false" outlineLevel="0" max="11" min="8" style="0" width="18"/>
    <col collapsed="false" customWidth="true" hidden="false" outlineLevel="0" max="12" min="12" style="0" width="3"/>
  </cols>
  <sheetData>
    <row r="1" customFormat="false" ht="49.5" hidden="false" customHeight="true" outlineLevel="0" collapsed="false">
      <c r="A1" s="85" t="s">
        <v>261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customFormat="false" ht="24.75" hidden="false" customHeight="true" outlineLevel="0" collapsed="false">
      <c r="A2" s="86" t="s">
        <v>262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4" customFormat="false" ht="27.75" hidden="false" customHeight="true" outlineLevel="0" collapsed="false">
      <c r="A4" s="87" t="s">
        <v>263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</row>
    <row r="5" customFormat="false" ht="24.75" hidden="false" customHeight="true" outlineLevel="0" collapsed="false">
      <c r="A5" s="19" t="s">
        <v>264</v>
      </c>
      <c r="B5" s="19" t="s">
        <v>265</v>
      </c>
      <c r="C5" s="19" t="s">
        <v>266</v>
      </c>
      <c r="D5" s="19"/>
      <c r="E5" s="19"/>
      <c r="F5" s="19"/>
      <c r="G5" s="19"/>
      <c r="H5" s="19"/>
      <c r="I5" s="19"/>
      <c r="J5" s="19"/>
      <c r="K5" s="19"/>
      <c r="L5" s="19"/>
    </row>
    <row r="6" customFormat="false" ht="27.75" hidden="false" customHeight="true" outlineLevel="0" collapsed="false">
      <c r="A6" s="88" t="s">
        <v>267</v>
      </c>
      <c r="B6" s="88" t="s">
        <v>268</v>
      </c>
      <c r="C6" s="21" t="s">
        <v>269</v>
      </c>
      <c r="D6" s="21"/>
      <c r="E6" s="21"/>
      <c r="F6" s="21"/>
      <c r="G6" s="21"/>
      <c r="H6" s="21"/>
      <c r="I6" s="21"/>
      <c r="J6" s="21"/>
      <c r="K6" s="21"/>
      <c r="L6" s="21"/>
    </row>
    <row r="7" customFormat="false" ht="27.75" hidden="false" customHeight="true" outlineLevel="0" collapsed="false">
      <c r="A7" s="89" t="s">
        <v>270</v>
      </c>
      <c r="B7" s="89" t="s">
        <v>271</v>
      </c>
      <c r="C7" s="90" t="s">
        <v>272</v>
      </c>
      <c r="D7" s="90"/>
      <c r="E7" s="90"/>
      <c r="F7" s="90"/>
      <c r="G7" s="90"/>
      <c r="H7" s="90"/>
      <c r="I7" s="90"/>
      <c r="J7" s="90"/>
      <c r="K7" s="90"/>
      <c r="L7" s="90"/>
    </row>
    <row r="8" customFormat="false" ht="27.75" hidden="false" customHeight="true" outlineLevel="0" collapsed="false">
      <c r="A8" s="91" t="s">
        <v>273</v>
      </c>
      <c r="B8" s="91" t="s">
        <v>274</v>
      </c>
      <c r="C8" s="27" t="s">
        <v>275</v>
      </c>
      <c r="D8" s="27"/>
      <c r="E8" s="27"/>
      <c r="F8" s="27"/>
      <c r="G8" s="27"/>
      <c r="H8" s="27"/>
      <c r="I8" s="27"/>
      <c r="J8" s="27"/>
      <c r="K8" s="27"/>
      <c r="L8" s="27"/>
    </row>
    <row r="9" customFormat="false" ht="27.75" hidden="false" customHeight="true" outlineLevel="0" collapsed="false">
      <c r="A9" s="92" t="s">
        <v>276</v>
      </c>
      <c r="B9" s="92" t="s">
        <v>277</v>
      </c>
      <c r="C9" s="93" t="s">
        <v>278</v>
      </c>
      <c r="D9" s="93"/>
      <c r="E9" s="93"/>
      <c r="F9" s="93"/>
      <c r="G9" s="93"/>
      <c r="H9" s="93"/>
      <c r="I9" s="93"/>
      <c r="J9" s="93"/>
      <c r="K9" s="93"/>
      <c r="L9" s="93"/>
    </row>
    <row r="11" customFormat="false" ht="49.5" hidden="false" customHeight="true" outlineLevel="0" collapsed="false">
      <c r="A11" s="19" t="s">
        <v>30</v>
      </c>
      <c r="B11" s="19" t="s">
        <v>279</v>
      </c>
      <c r="C11" s="19" t="s">
        <v>280</v>
      </c>
      <c r="D11" s="37" t="s">
        <v>281</v>
      </c>
      <c r="E11" s="44" t="s">
        <v>282</v>
      </c>
      <c r="F11" s="46" t="s">
        <v>283</v>
      </c>
      <c r="G11" s="42" t="s">
        <v>284</v>
      </c>
      <c r="H11" s="37" t="s">
        <v>285</v>
      </c>
      <c r="I11" s="44" t="s">
        <v>286</v>
      </c>
      <c r="J11" s="46" t="s">
        <v>287</v>
      </c>
      <c r="K11" s="42" t="s">
        <v>288</v>
      </c>
    </row>
    <row r="12" customFormat="false" ht="24" hidden="false" customHeight="true" outlineLevel="0" collapsed="false">
      <c r="A12" s="94" t="n">
        <v>1</v>
      </c>
      <c r="B12" s="95" t="s">
        <v>289</v>
      </c>
      <c r="C12" s="96" t="s">
        <v>290</v>
      </c>
      <c r="D12" s="97" t="n">
        <v>7</v>
      </c>
      <c r="E12" s="98" t="n">
        <v>20</v>
      </c>
      <c r="F12" s="99" t="n">
        <v>8</v>
      </c>
      <c r="G12" s="100" t="n">
        <v>6</v>
      </c>
      <c r="H12" s="101" t="str">
        <f aca="false">IF(D12="","—",IF(D12&lt;9,"🔴 Rendah",IF(D12&lt;=13,"🟡 Sedang",IF(D12&lt;=17,"🟢 Tinggi","🔵 Sangat Tinggi"))))</f>
        <v>🔴 Rendah</v>
      </c>
      <c r="I12" s="101" t="str">
        <f aca="false">IF(E12="","—",IF(E12&lt;9,"🔴 Rendah",IF(E12&lt;=13,"🟡 Sedang",IF(E12&lt;=17,"🟢 Tinggi","🔵 Sangat Tinggi"))))</f>
        <v>🔵 Sangat Tinggi</v>
      </c>
      <c r="J12" s="101" t="str">
        <f aca="false">IF(F12="","—",IF(F12&lt;9,"🔴 Rendah",IF(F12&lt;=13,"🟡 Sedang",IF(F12&lt;=17,"🟢 Tinggi","🔵 Sangat Tinggi"))))</f>
        <v>🔴 Rendah</v>
      </c>
      <c r="K12" s="101" t="str">
        <f aca="false">IF(G12="","—",IF(G12&lt;9,"🔴 Rendah",IF(G12&lt;=13,"🟡 Sedang",IF(G12&lt;=17,"🟢 Tinggi","🔵 Sangat Tinggi"))))</f>
        <v>🔴 Rendah</v>
      </c>
    </row>
    <row r="13" customFormat="false" ht="24" hidden="false" customHeight="true" outlineLevel="0" collapsed="false">
      <c r="A13" s="94" t="n">
        <v>2</v>
      </c>
      <c r="B13" s="102" t="s">
        <v>291</v>
      </c>
      <c r="C13" s="103" t="s">
        <v>290</v>
      </c>
      <c r="D13" s="104" t="n">
        <v>3</v>
      </c>
      <c r="E13" s="104" t="n">
        <v>20</v>
      </c>
      <c r="F13" s="104" t="n">
        <v>14</v>
      </c>
      <c r="G13" s="104" t="n">
        <v>7</v>
      </c>
      <c r="H13" s="101" t="str">
        <f aca="false">IF(D13="","—",IF(D13&lt;9,"🔴 Rendah",IF(D13&lt;=13,"🟡 Sedang",IF(D13&lt;=17,"🟢 Tinggi","🔵 Sangat Tinggi"))))</f>
        <v>🔴 Rendah</v>
      </c>
      <c r="I13" s="101" t="str">
        <f aca="false">IF(E13="","—",IF(E13&lt;9,"🔴 Rendah",IF(E13&lt;=13,"🟡 Sedang",IF(E13&lt;=17,"🟢 Tinggi","🔵 Sangat Tinggi"))))</f>
        <v>🔵 Sangat Tinggi</v>
      </c>
      <c r="J13" s="101" t="str">
        <f aca="false">IF(F13="","—",IF(F13&lt;9,"🔴 Rendah",IF(F13&lt;=13,"🟡 Sedang",IF(F13&lt;=17,"🟢 Tinggi","🔵 Sangat Tinggi"))))</f>
        <v>🟢 Tinggi</v>
      </c>
      <c r="K13" s="101" t="str">
        <f aca="false">IF(G13="","—",IF(G13&lt;9,"🔴 Rendah",IF(G13&lt;=13,"🟡 Sedang",IF(G13&lt;=17,"🟢 Tinggi","🔵 Sangat Tinggi"))))</f>
        <v>🔴 Rendah</v>
      </c>
    </row>
    <row r="14" customFormat="false" ht="24" hidden="false" customHeight="true" outlineLevel="0" collapsed="false">
      <c r="A14" s="94" t="n">
        <v>3</v>
      </c>
      <c r="B14" s="95" t="s">
        <v>292</v>
      </c>
      <c r="C14" s="96" t="s">
        <v>290</v>
      </c>
      <c r="D14" s="97" t="n">
        <v>4</v>
      </c>
      <c r="E14" s="98" t="n">
        <v>16</v>
      </c>
      <c r="F14" s="99" t="n">
        <v>14</v>
      </c>
      <c r="G14" s="100" t="n">
        <v>8</v>
      </c>
      <c r="H14" s="101" t="str">
        <f aca="false">IF(D14="","—",IF(D14&lt;9,"🔴 Rendah",IF(D14&lt;=13,"🟡 Sedang",IF(D14&lt;=17,"🟢 Tinggi","🔵 Sangat Tinggi"))))</f>
        <v>🔴 Rendah</v>
      </c>
      <c r="I14" s="101" t="str">
        <f aca="false">IF(E14="","—",IF(E14&lt;9,"🔴 Rendah",IF(E14&lt;=13,"🟡 Sedang",IF(E14&lt;=17,"🟢 Tinggi","🔵 Sangat Tinggi"))))</f>
        <v>🟢 Tinggi</v>
      </c>
      <c r="J14" s="101" t="str">
        <f aca="false">IF(F14="","—",IF(F14&lt;9,"🔴 Rendah",IF(F14&lt;=13,"🟡 Sedang",IF(F14&lt;=17,"🟢 Tinggi","🔵 Sangat Tinggi"))))</f>
        <v>🟢 Tinggi</v>
      </c>
      <c r="K14" s="101" t="str">
        <f aca="false">IF(G14="","—",IF(G14&lt;9,"🔴 Rendah",IF(G14&lt;=13,"🟡 Sedang",IF(G14&lt;=17,"🟢 Tinggi","🔵 Sangat Tinggi"))))</f>
        <v>🔴 Rendah</v>
      </c>
    </row>
    <row r="15" customFormat="false" ht="24" hidden="false" customHeight="true" outlineLevel="0" collapsed="false">
      <c r="A15" s="94" t="n">
        <v>4</v>
      </c>
      <c r="B15" s="102" t="s">
        <v>293</v>
      </c>
      <c r="C15" s="103" t="s">
        <v>290</v>
      </c>
      <c r="D15" s="104" t="n">
        <v>3</v>
      </c>
      <c r="E15" s="104" t="n">
        <v>16</v>
      </c>
      <c r="F15" s="104" t="n">
        <v>12</v>
      </c>
      <c r="G15" s="104" t="n">
        <v>10</v>
      </c>
      <c r="H15" s="101" t="str">
        <f aca="false">IF(D15="","—",IF(D15&lt;9,"🔴 Rendah",IF(D15&lt;=13,"🟡 Sedang",IF(D15&lt;=17,"🟢 Tinggi","🔵 Sangat Tinggi"))))</f>
        <v>🔴 Rendah</v>
      </c>
      <c r="I15" s="101" t="str">
        <f aca="false">IF(E15="","—",IF(E15&lt;9,"🔴 Rendah",IF(E15&lt;=13,"🟡 Sedang",IF(E15&lt;=17,"🟢 Tinggi","🔵 Sangat Tinggi"))))</f>
        <v>🟢 Tinggi</v>
      </c>
      <c r="J15" s="101" t="str">
        <f aca="false">IF(F15="","—",IF(F15&lt;9,"🔴 Rendah",IF(F15&lt;=13,"🟡 Sedang",IF(F15&lt;=17,"🟢 Tinggi","🔵 Sangat Tinggi"))))</f>
        <v>🟡 Sedang</v>
      </c>
      <c r="K15" s="101" t="str">
        <f aca="false">IF(G15="","—",IF(G15&lt;9,"🔴 Rendah",IF(G15&lt;=13,"🟡 Sedang",IF(G15&lt;=17,"🟢 Tinggi","🔵 Sangat Tinggi"))))</f>
        <v>🟡 Sedang</v>
      </c>
    </row>
    <row r="16" customFormat="false" ht="24" hidden="false" customHeight="true" outlineLevel="0" collapsed="false">
      <c r="A16" s="94" t="n">
        <v>5</v>
      </c>
      <c r="B16" s="95" t="s">
        <v>294</v>
      </c>
      <c r="C16" s="96" t="s">
        <v>290</v>
      </c>
      <c r="D16" s="97" t="n">
        <v>10</v>
      </c>
      <c r="E16" s="98" t="n">
        <v>15</v>
      </c>
      <c r="F16" s="99" t="n">
        <v>12</v>
      </c>
      <c r="G16" s="100" t="n">
        <v>4</v>
      </c>
      <c r="H16" s="101" t="str">
        <f aca="false">IF(D16="","—",IF(D16&lt;9,"🔴 Rendah",IF(D16&lt;=13,"🟡 Sedang",IF(D16&lt;=17,"🟢 Tinggi","🔵 Sangat Tinggi"))))</f>
        <v>🟡 Sedang</v>
      </c>
      <c r="I16" s="101" t="str">
        <f aca="false">IF(E16="","—",IF(E16&lt;9,"🔴 Rendah",IF(E16&lt;=13,"🟡 Sedang",IF(E16&lt;=17,"🟢 Tinggi","🔵 Sangat Tinggi"))))</f>
        <v>🟢 Tinggi</v>
      </c>
      <c r="J16" s="101" t="str">
        <f aca="false">IF(F16="","—",IF(F16&lt;9,"🔴 Rendah",IF(F16&lt;=13,"🟡 Sedang",IF(F16&lt;=17,"🟢 Tinggi","🔵 Sangat Tinggi"))))</f>
        <v>🟡 Sedang</v>
      </c>
      <c r="K16" s="101" t="str">
        <f aca="false">IF(G16="","—",IF(G16&lt;9,"🔴 Rendah",IF(G16&lt;=13,"🟡 Sedang",IF(G16&lt;=17,"🟢 Tinggi","🔵 Sangat Tinggi"))))</f>
        <v>🔴 Rendah</v>
      </c>
    </row>
    <row r="17" customFormat="false" ht="24" hidden="false" customHeight="true" outlineLevel="0" collapsed="false">
      <c r="A17" s="94" t="n">
        <v>6</v>
      </c>
      <c r="B17" s="102" t="s">
        <v>295</v>
      </c>
      <c r="C17" s="103" t="s">
        <v>290</v>
      </c>
      <c r="D17" s="104" t="n">
        <v>6</v>
      </c>
      <c r="E17" s="104" t="n">
        <v>15</v>
      </c>
      <c r="F17" s="104" t="n">
        <v>16</v>
      </c>
      <c r="G17" s="104" t="n">
        <v>4</v>
      </c>
      <c r="H17" s="101" t="str">
        <f aca="false">IF(D17="","—",IF(D17&lt;9,"🔴 Rendah",IF(D17&lt;=13,"🟡 Sedang",IF(D17&lt;=17,"🟢 Tinggi","🔵 Sangat Tinggi"))))</f>
        <v>🔴 Rendah</v>
      </c>
      <c r="I17" s="101" t="str">
        <f aca="false">IF(E17="","—",IF(E17&lt;9,"🔴 Rendah",IF(E17&lt;=13,"🟡 Sedang",IF(E17&lt;=17,"🟢 Tinggi","🔵 Sangat Tinggi"))))</f>
        <v>🟢 Tinggi</v>
      </c>
      <c r="J17" s="101" t="str">
        <f aca="false">IF(F17="","—",IF(F17&lt;9,"🔴 Rendah",IF(F17&lt;=13,"🟡 Sedang",IF(F17&lt;=17,"🟢 Tinggi","🔵 Sangat Tinggi"))))</f>
        <v>🟢 Tinggi</v>
      </c>
      <c r="K17" s="101" t="str">
        <f aca="false">IF(G17="","—",IF(G17&lt;9,"🔴 Rendah",IF(G17&lt;=13,"🟡 Sedang",IF(G17&lt;=17,"🟢 Tinggi","🔵 Sangat Tinggi"))))</f>
        <v>🔴 Rendah</v>
      </c>
    </row>
    <row r="18" customFormat="false" ht="24" hidden="false" customHeight="true" outlineLevel="0" collapsed="false">
      <c r="A18" s="94" t="n">
        <v>7</v>
      </c>
      <c r="B18" s="95" t="s">
        <v>296</v>
      </c>
      <c r="C18" s="96" t="s">
        <v>290</v>
      </c>
      <c r="D18" s="97" t="n">
        <v>4</v>
      </c>
      <c r="E18" s="98" t="n">
        <v>15</v>
      </c>
      <c r="F18" s="99" t="n">
        <v>16</v>
      </c>
      <c r="G18" s="100" t="n">
        <v>6</v>
      </c>
      <c r="H18" s="101" t="str">
        <f aca="false">IF(D18="","—",IF(D18&lt;9,"🔴 Rendah",IF(D18&lt;=13,"🟡 Sedang",IF(D18&lt;=17,"🟢 Tinggi","🔵 Sangat Tinggi"))))</f>
        <v>🔴 Rendah</v>
      </c>
      <c r="I18" s="101" t="str">
        <f aca="false">IF(E18="","—",IF(E18&lt;9,"🔴 Rendah",IF(E18&lt;=13,"🟡 Sedang",IF(E18&lt;=17,"🟢 Tinggi","🔵 Sangat Tinggi"))))</f>
        <v>🟢 Tinggi</v>
      </c>
      <c r="J18" s="101" t="str">
        <f aca="false">IF(F18="","—",IF(F18&lt;9,"🔴 Rendah",IF(F18&lt;=13,"🟡 Sedang",IF(F18&lt;=17,"🟢 Tinggi","🔵 Sangat Tinggi"))))</f>
        <v>🟢 Tinggi</v>
      </c>
      <c r="K18" s="101" t="str">
        <f aca="false">IF(G18="","—",IF(G18&lt;9,"🔴 Rendah",IF(G18&lt;=13,"🟡 Sedang",IF(G18&lt;=17,"🟢 Tinggi","🔵 Sangat Tinggi"))))</f>
        <v>🔴 Rendah</v>
      </c>
    </row>
    <row r="19" customFormat="false" ht="24" hidden="false" customHeight="true" outlineLevel="0" collapsed="false">
      <c r="A19" s="94" t="n">
        <v>8</v>
      </c>
      <c r="B19" s="102" t="s">
        <v>297</v>
      </c>
      <c r="C19" s="103" t="s">
        <v>290</v>
      </c>
      <c r="D19" s="104" t="n">
        <v>7</v>
      </c>
      <c r="E19" s="104" t="n">
        <v>14</v>
      </c>
      <c r="F19" s="104" t="n">
        <v>11</v>
      </c>
      <c r="G19" s="104" t="n">
        <v>9</v>
      </c>
      <c r="H19" s="101" t="str">
        <f aca="false">IF(D19="","—",IF(D19&lt;9,"🔴 Rendah",IF(D19&lt;=13,"🟡 Sedang",IF(D19&lt;=17,"🟢 Tinggi","🔵 Sangat Tinggi"))))</f>
        <v>🔴 Rendah</v>
      </c>
      <c r="I19" s="101" t="str">
        <f aca="false">IF(E19="","—",IF(E19&lt;9,"🔴 Rendah",IF(E19&lt;=13,"🟡 Sedang",IF(E19&lt;=17,"🟢 Tinggi","🔵 Sangat Tinggi"))))</f>
        <v>🟢 Tinggi</v>
      </c>
      <c r="J19" s="101" t="str">
        <f aca="false">IF(F19="","—",IF(F19&lt;9,"🔴 Rendah",IF(F19&lt;=13,"🟡 Sedang",IF(F19&lt;=17,"🟢 Tinggi","🔵 Sangat Tinggi"))))</f>
        <v>🟡 Sedang</v>
      </c>
      <c r="K19" s="101" t="str">
        <f aca="false">IF(G19="","—",IF(G19&lt;9,"🔴 Rendah",IF(G19&lt;=13,"🟡 Sedang",IF(G19&lt;=17,"🟢 Tinggi","🔵 Sangat Tinggi"))))</f>
        <v>🟡 Sedang</v>
      </c>
    </row>
    <row r="20" customFormat="false" ht="24" hidden="false" customHeight="true" outlineLevel="0" collapsed="false">
      <c r="A20" s="94" t="n">
        <v>9</v>
      </c>
      <c r="B20" s="95" t="s">
        <v>298</v>
      </c>
      <c r="C20" s="96" t="s">
        <v>290</v>
      </c>
      <c r="D20" s="97" t="n">
        <v>3</v>
      </c>
      <c r="E20" s="98" t="n">
        <v>14</v>
      </c>
      <c r="F20" s="99" t="n">
        <v>15</v>
      </c>
      <c r="G20" s="100" t="n">
        <v>9</v>
      </c>
      <c r="H20" s="101" t="str">
        <f aca="false">IF(D20="","—",IF(D20&lt;9,"🔴 Rendah",IF(D20&lt;=13,"🟡 Sedang",IF(D20&lt;=17,"🟢 Tinggi","🔵 Sangat Tinggi"))))</f>
        <v>🔴 Rendah</v>
      </c>
      <c r="I20" s="101" t="str">
        <f aca="false">IF(E20="","—",IF(E20&lt;9,"🔴 Rendah",IF(E20&lt;=13,"🟡 Sedang",IF(E20&lt;=17,"🟢 Tinggi","🔵 Sangat Tinggi"))))</f>
        <v>🟢 Tinggi</v>
      </c>
      <c r="J20" s="101" t="str">
        <f aca="false">IF(F20="","—",IF(F20&lt;9,"🔴 Rendah",IF(F20&lt;=13,"🟡 Sedang",IF(F20&lt;=17,"🟢 Tinggi","🔵 Sangat Tinggi"))))</f>
        <v>🟢 Tinggi</v>
      </c>
      <c r="K20" s="101" t="str">
        <f aca="false">IF(G20="","—",IF(G20&lt;9,"🔴 Rendah",IF(G20&lt;=13,"🟡 Sedang",IF(G20&lt;=17,"🟢 Tinggi","🔵 Sangat Tinggi"))))</f>
        <v>🟡 Sedang</v>
      </c>
    </row>
    <row r="21" customFormat="false" ht="24" hidden="false" customHeight="true" outlineLevel="0" collapsed="false">
      <c r="A21" s="94" t="n">
        <v>10</v>
      </c>
      <c r="B21" s="102" t="s">
        <v>299</v>
      </c>
      <c r="C21" s="103" t="s">
        <v>290</v>
      </c>
      <c r="D21" s="104" t="n">
        <v>3</v>
      </c>
      <c r="E21" s="104" t="n">
        <v>14</v>
      </c>
      <c r="F21" s="104" t="n">
        <v>15</v>
      </c>
      <c r="G21" s="104" t="n">
        <v>9</v>
      </c>
      <c r="H21" s="101" t="str">
        <f aca="false">IF(D21="","—",IF(D21&lt;9,"🔴 Rendah",IF(D21&lt;=13,"🟡 Sedang",IF(D21&lt;=17,"🟢 Tinggi","🔵 Sangat Tinggi"))))</f>
        <v>🔴 Rendah</v>
      </c>
      <c r="I21" s="101" t="str">
        <f aca="false">IF(E21="","—",IF(E21&lt;9,"🔴 Rendah",IF(E21&lt;=13,"🟡 Sedang",IF(E21&lt;=17,"🟢 Tinggi","🔵 Sangat Tinggi"))))</f>
        <v>🟢 Tinggi</v>
      </c>
      <c r="J21" s="101" t="str">
        <f aca="false">IF(F21="","—",IF(F21&lt;9,"🔴 Rendah",IF(F21&lt;=13,"🟡 Sedang",IF(F21&lt;=17,"🟢 Tinggi","🔵 Sangat Tinggi"))))</f>
        <v>🟢 Tinggi</v>
      </c>
      <c r="K21" s="101" t="str">
        <f aca="false">IF(G21="","—",IF(G21&lt;9,"🔴 Rendah",IF(G21&lt;=13,"🟡 Sedang",IF(G21&lt;=17,"🟢 Tinggi","🔵 Sangat Tinggi"))))</f>
        <v>🟡 Sedang</v>
      </c>
    </row>
    <row r="22" customFormat="false" ht="24" hidden="false" customHeight="true" outlineLevel="0" collapsed="false">
      <c r="A22" s="94" t="n">
        <v>11</v>
      </c>
      <c r="B22" s="95" t="s">
        <v>300</v>
      </c>
      <c r="C22" s="96" t="s">
        <v>290</v>
      </c>
      <c r="D22" s="97" t="n">
        <v>4</v>
      </c>
      <c r="E22" s="98" t="n">
        <v>13</v>
      </c>
      <c r="F22" s="99" t="n">
        <v>21</v>
      </c>
      <c r="G22" s="100" t="n">
        <v>3</v>
      </c>
      <c r="H22" s="101" t="str">
        <f aca="false">IF(D22="","—",IF(D22&lt;9,"🔴 Rendah",IF(D22&lt;=13,"🟡 Sedang",IF(D22&lt;=17,"🟢 Tinggi","🔵 Sangat Tinggi"))))</f>
        <v>🔴 Rendah</v>
      </c>
      <c r="I22" s="101" t="str">
        <f aca="false">IF(E22="","—",IF(E22&lt;9,"🔴 Rendah",IF(E22&lt;=13,"🟡 Sedang",IF(E22&lt;=17,"🟢 Tinggi","🔵 Sangat Tinggi"))))</f>
        <v>🟡 Sedang</v>
      </c>
      <c r="J22" s="101" t="str">
        <f aca="false">IF(F22="","—",IF(F22&lt;9,"🔴 Rendah",IF(F22&lt;=13,"🟡 Sedang",IF(F22&lt;=17,"🟢 Tinggi","🔵 Sangat Tinggi"))))</f>
        <v>🔵 Sangat Tinggi</v>
      </c>
      <c r="K22" s="101" t="str">
        <f aca="false">IF(G22="","—",IF(G22&lt;9,"🔴 Rendah",IF(G22&lt;=13,"🟡 Sedang",IF(G22&lt;=17,"🟢 Tinggi","🔵 Sangat Tinggi"))))</f>
        <v>🔴 Rendah</v>
      </c>
    </row>
    <row r="23" customFormat="false" ht="24" hidden="false" customHeight="true" outlineLevel="0" collapsed="false">
      <c r="A23" s="94" t="n">
        <v>12</v>
      </c>
      <c r="B23" s="102"/>
      <c r="C23" s="103"/>
      <c r="D23" s="104"/>
      <c r="E23" s="104"/>
      <c r="F23" s="104"/>
      <c r="G23" s="104"/>
      <c r="H23" s="101" t="str">
        <f aca="false">IF(D23="","—",IF(D23&lt;9,"🔴 Rendah",IF(D23&lt;=13,"🟡 Sedang",IF(D23&lt;=17,"🟢 Tinggi","🔵 Sangat Tinggi"))))</f>
        <v>—</v>
      </c>
      <c r="I23" s="101" t="str">
        <f aca="false">IF(E23="","—",IF(E23&lt;9,"🔴 Rendah",IF(E23&lt;=13,"🟡 Sedang",IF(E23&lt;=17,"🟢 Tinggi","🔵 Sangat Tinggi"))))</f>
        <v>—</v>
      </c>
      <c r="J23" s="101" t="str">
        <f aca="false">IF(F23="","—",IF(F23&lt;9,"🔴 Rendah",IF(F23&lt;=13,"🟡 Sedang",IF(F23&lt;=17,"🟢 Tinggi","🔵 Sangat Tinggi"))))</f>
        <v>—</v>
      </c>
      <c r="K23" s="101" t="str">
        <f aca="false">IF(G23="","—",IF(G23&lt;9,"🔴 Rendah",IF(G23&lt;=13,"🟡 Sedang",IF(G23&lt;=17,"🟢 Tinggi","🔵 Sangat Tinggi"))))</f>
        <v>—</v>
      </c>
    </row>
    <row r="24" customFormat="false" ht="24" hidden="false" customHeight="true" outlineLevel="0" collapsed="false">
      <c r="A24" s="94" t="n">
        <v>13</v>
      </c>
      <c r="B24" s="95"/>
      <c r="C24" s="96"/>
      <c r="D24" s="97"/>
      <c r="E24" s="98"/>
      <c r="F24" s="99"/>
      <c r="G24" s="100"/>
      <c r="H24" s="101" t="str">
        <f aca="false">IF(D24="","—",IF(D24&lt;9,"🔴 Rendah",IF(D24&lt;=13,"🟡 Sedang",IF(D24&lt;=17,"🟢 Tinggi","🔵 Sangat Tinggi"))))</f>
        <v>—</v>
      </c>
      <c r="I24" s="101" t="str">
        <f aca="false">IF(E24="","—",IF(E24&lt;9,"🔴 Rendah",IF(E24&lt;=13,"🟡 Sedang",IF(E24&lt;=17,"🟢 Tinggi","🔵 Sangat Tinggi"))))</f>
        <v>—</v>
      </c>
      <c r="J24" s="101" t="str">
        <f aca="false">IF(F24="","—",IF(F24&lt;9,"🔴 Rendah",IF(F24&lt;=13,"🟡 Sedang",IF(F24&lt;=17,"🟢 Tinggi","🔵 Sangat Tinggi"))))</f>
        <v>—</v>
      </c>
      <c r="K24" s="101" t="str">
        <f aca="false">IF(G24="","—",IF(G24&lt;9,"🔴 Rendah",IF(G24&lt;=13,"🟡 Sedang",IF(G24&lt;=17,"🟢 Tinggi","🔵 Sangat Tinggi"))))</f>
        <v>—</v>
      </c>
    </row>
    <row r="25" customFormat="false" ht="24" hidden="false" customHeight="true" outlineLevel="0" collapsed="false">
      <c r="A25" s="94" t="n">
        <v>14</v>
      </c>
      <c r="B25" s="102"/>
      <c r="C25" s="103"/>
      <c r="D25" s="104"/>
      <c r="E25" s="104"/>
      <c r="F25" s="104"/>
      <c r="G25" s="104"/>
      <c r="H25" s="101" t="str">
        <f aca="false">IF(D25="","—",IF(D25&lt;9,"🔴 Rendah",IF(D25&lt;=13,"🟡 Sedang",IF(D25&lt;=17,"🟢 Tinggi","🔵 Sangat Tinggi"))))</f>
        <v>—</v>
      </c>
      <c r="I25" s="101" t="str">
        <f aca="false">IF(E25="","—",IF(E25&lt;9,"🔴 Rendah",IF(E25&lt;=13,"🟡 Sedang",IF(E25&lt;=17,"🟢 Tinggi","🔵 Sangat Tinggi"))))</f>
        <v>—</v>
      </c>
      <c r="J25" s="101" t="str">
        <f aca="false">IF(F25="","—",IF(F25&lt;9,"🔴 Rendah",IF(F25&lt;=13,"🟡 Sedang",IF(F25&lt;=17,"🟢 Tinggi","🔵 Sangat Tinggi"))))</f>
        <v>—</v>
      </c>
      <c r="K25" s="101" t="str">
        <f aca="false">IF(G25="","—",IF(G25&lt;9,"🔴 Rendah",IF(G25&lt;=13,"🟡 Sedang",IF(G25&lt;=17,"🟢 Tinggi","🔵 Sangat Tinggi"))))</f>
        <v>—</v>
      </c>
    </row>
    <row r="26" customFormat="false" ht="24" hidden="false" customHeight="true" outlineLevel="0" collapsed="false">
      <c r="A26" s="94" t="n">
        <v>15</v>
      </c>
      <c r="B26" s="95"/>
      <c r="C26" s="96"/>
      <c r="D26" s="97"/>
      <c r="E26" s="98"/>
      <c r="F26" s="99"/>
      <c r="G26" s="100"/>
      <c r="H26" s="101" t="str">
        <f aca="false">IF(D26="","—",IF(D26&lt;9,"🔴 Rendah",IF(D26&lt;=13,"🟡 Sedang",IF(D26&lt;=17,"🟢 Tinggi","🔵 Sangat Tinggi"))))</f>
        <v>—</v>
      </c>
      <c r="I26" s="101" t="str">
        <f aca="false">IF(E26="","—",IF(E26&lt;9,"🔴 Rendah",IF(E26&lt;=13,"🟡 Sedang",IF(E26&lt;=17,"🟢 Tinggi","🔵 Sangat Tinggi"))))</f>
        <v>—</v>
      </c>
      <c r="J26" s="101" t="str">
        <f aca="false">IF(F26="","—",IF(F26&lt;9,"🔴 Rendah",IF(F26&lt;=13,"🟡 Sedang",IF(F26&lt;=17,"🟢 Tinggi","🔵 Sangat Tinggi"))))</f>
        <v>—</v>
      </c>
      <c r="K26" s="101" t="str">
        <f aca="false">IF(G26="","—",IF(G26&lt;9,"🔴 Rendah",IF(G26&lt;=13,"🟡 Sedang",IF(G26&lt;=17,"🟢 Tinggi","🔵 Sangat Tinggi"))))</f>
        <v>—</v>
      </c>
    </row>
    <row r="27" customFormat="false" ht="24" hidden="false" customHeight="true" outlineLevel="0" collapsed="false">
      <c r="A27" s="94" t="n">
        <v>16</v>
      </c>
      <c r="B27" s="102"/>
      <c r="C27" s="103"/>
      <c r="D27" s="104"/>
      <c r="E27" s="104"/>
      <c r="F27" s="104"/>
      <c r="G27" s="104"/>
      <c r="H27" s="101" t="str">
        <f aca="false">IF(D27="","—",IF(D27&lt;9,"🔴 Rendah",IF(D27&lt;=13,"🟡 Sedang",IF(D27&lt;=17,"🟢 Tinggi","🔵 Sangat Tinggi"))))</f>
        <v>—</v>
      </c>
      <c r="I27" s="101" t="str">
        <f aca="false">IF(E27="","—",IF(E27&lt;9,"🔴 Rendah",IF(E27&lt;=13,"🟡 Sedang",IF(E27&lt;=17,"🟢 Tinggi","🔵 Sangat Tinggi"))))</f>
        <v>—</v>
      </c>
      <c r="J27" s="101" t="str">
        <f aca="false">IF(F27="","—",IF(F27&lt;9,"🔴 Rendah",IF(F27&lt;=13,"🟡 Sedang",IF(F27&lt;=17,"🟢 Tinggi","🔵 Sangat Tinggi"))))</f>
        <v>—</v>
      </c>
      <c r="K27" s="101" t="str">
        <f aca="false">IF(G27="","—",IF(G27&lt;9,"🔴 Rendah",IF(G27&lt;=13,"🟡 Sedang",IF(G27&lt;=17,"🟢 Tinggi","🔵 Sangat Tinggi"))))</f>
        <v>—</v>
      </c>
    </row>
    <row r="28" customFormat="false" ht="24" hidden="false" customHeight="true" outlineLevel="0" collapsed="false">
      <c r="A28" s="94" t="n">
        <v>17</v>
      </c>
      <c r="B28" s="95"/>
      <c r="C28" s="96"/>
      <c r="D28" s="97"/>
      <c r="E28" s="98"/>
      <c r="F28" s="99"/>
      <c r="G28" s="100"/>
      <c r="H28" s="101" t="str">
        <f aca="false">IF(D28="","—",IF(D28&lt;9,"🔴 Rendah",IF(D28&lt;=13,"🟡 Sedang",IF(D28&lt;=17,"🟢 Tinggi","🔵 Sangat Tinggi"))))</f>
        <v>—</v>
      </c>
      <c r="I28" s="101" t="str">
        <f aca="false">IF(E28="","—",IF(E28&lt;9,"🔴 Rendah",IF(E28&lt;=13,"🟡 Sedang",IF(E28&lt;=17,"🟢 Tinggi","🔵 Sangat Tinggi"))))</f>
        <v>—</v>
      </c>
      <c r="J28" s="101" t="str">
        <f aca="false">IF(F28="","—",IF(F28&lt;9,"🔴 Rendah",IF(F28&lt;=13,"🟡 Sedang",IF(F28&lt;=17,"🟢 Tinggi","🔵 Sangat Tinggi"))))</f>
        <v>—</v>
      </c>
      <c r="K28" s="101" t="str">
        <f aca="false">IF(G28="","—",IF(G28&lt;9,"🔴 Rendah",IF(G28&lt;=13,"🟡 Sedang",IF(G28&lt;=17,"🟢 Tinggi","🔵 Sangat Tinggi"))))</f>
        <v>—</v>
      </c>
    </row>
    <row r="29" customFormat="false" ht="24" hidden="false" customHeight="true" outlineLevel="0" collapsed="false">
      <c r="A29" s="94" t="n">
        <v>18</v>
      </c>
      <c r="B29" s="102"/>
      <c r="C29" s="103"/>
      <c r="D29" s="104"/>
      <c r="E29" s="104"/>
      <c r="F29" s="104"/>
      <c r="G29" s="104"/>
      <c r="H29" s="101" t="str">
        <f aca="false">IF(D29="","—",IF(D29&lt;9,"🔴 Rendah",IF(D29&lt;=13,"🟡 Sedang",IF(D29&lt;=17,"🟢 Tinggi","🔵 Sangat Tinggi"))))</f>
        <v>—</v>
      </c>
      <c r="I29" s="101" t="str">
        <f aca="false">IF(E29="","—",IF(E29&lt;9,"🔴 Rendah",IF(E29&lt;=13,"🟡 Sedang",IF(E29&lt;=17,"🟢 Tinggi","🔵 Sangat Tinggi"))))</f>
        <v>—</v>
      </c>
      <c r="J29" s="101" t="str">
        <f aca="false">IF(F29="","—",IF(F29&lt;9,"🔴 Rendah",IF(F29&lt;=13,"🟡 Sedang",IF(F29&lt;=17,"🟢 Tinggi","🔵 Sangat Tinggi"))))</f>
        <v>—</v>
      </c>
      <c r="K29" s="101" t="str">
        <f aca="false">IF(G29="","—",IF(G29&lt;9,"🔴 Rendah",IF(G29&lt;=13,"🟡 Sedang",IF(G29&lt;=17,"🟢 Tinggi","🔵 Sangat Tinggi"))))</f>
        <v>—</v>
      </c>
    </row>
    <row r="30" customFormat="false" ht="24" hidden="false" customHeight="true" outlineLevel="0" collapsed="false">
      <c r="A30" s="94" t="n">
        <v>19</v>
      </c>
      <c r="B30" s="95"/>
      <c r="C30" s="96"/>
      <c r="D30" s="97"/>
      <c r="E30" s="98"/>
      <c r="F30" s="99"/>
      <c r="G30" s="100"/>
      <c r="H30" s="101" t="str">
        <f aca="false">IF(D30="","—",IF(D30&lt;9,"🔴 Rendah",IF(D30&lt;=13,"🟡 Sedang",IF(D30&lt;=17,"🟢 Tinggi","🔵 Sangat Tinggi"))))</f>
        <v>—</v>
      </c>
      <c r="I30" s="101" t="str">
        <f aca="false">IF(E30="","—",IF(E30&lt;9,"🔴 Rendah",IF(E30&lt;=13,"🟡 Sedang",IF(E30&lt;=17,"🟢 Tinggi","🔵 Sangat Tinggi"))))</f>
        <v>—</v>
      </c>
      <c r="J30" s="101" t="str">
        <f aca="false">IF(F30="","—",IF(F30&lt;9,"🔴 Rendah",IF(F30&lt;=13,"🟡 Sedang",IF(F30&lt;=17,"🟢 Tinggi","🔵 Sangat Tinggi"))))</f>
        <v>—</v>
      </c>
      <c r="K30" s="101" t="str">
        <f aca="false">IF(G30="","—",IF(G30&lt;9,"🔴 Rendah",IF(G30&lt;=13,"🟡 Sedang",IF(G30&lt;=17,"🟢 Tinggi","🔵 Sangat Tinggi"))))</f>
        <v>—</v>
      </c>
    </row>
    <row r="31" customFormat="false" ht="24" hidden="false" customHeight="true" outlineLevel="0" collapsed="false">
      <c r="A31" s="94" t="n">
        <v>20</v>
      </c>
      <c r="B31" s="102"/>
      <c r="C31" s="103"/>
      <c r="D31" s="104"/>
      <c r="E31" s="104"/>
      <c r="F31" s="104"/>
      <c r="G31" s="104"/>
      <c r="H31" s="101" t="str">
        <f aca="false">IF(D31="","—",IF(D31&lt;9,"🔴 Rendah",IF(D31&lt;=13,"🟡 Sedang",IF(D31&lt;=17,"🟢 Tinggi","🔵 Sangat Tinggi"))))</f>
        <v>—</v>
      </c>
      <c r="I31" s="101" t="str">
        <f aca="false">IF(E31="","—",IF(E31&lt;9,"🔴 Rendah",IF(E31&lt;=13,"🟡 Sedang",IF(E31&lt;=17,"🟢 Tinggi","🔵 Sangat Tinggi"))))</f>
        <v>—</v>
      </c>
      <c r="J31" s="101" t="str">
        <f aca="false">IF(F31="","—",IF(F31&lt;9,"🔴 Rendah",IF(F31&lt;=13,"🟡 Sedang",IF(F31&lt;=17,"🟢 Tinggi","🔵 Sangat Tinggi"))))</f>
        <v>—</v>
      </c>
      <c r="K31" s="101" t="str">
        <f aca="false">IF(G31="","—",IF(G31&lt;9,"🔴 Rendah",IF(G31&lt;=13,"🟡 Sedang",IF(G31&lt;=17,"🟢 Tinggi","🔵 Sangat Tinggi"))))</f>
        <v>—</v>
      </c>
    </row>
    <row r="32" customFormat="false" ht="24" hidden="false" customHeight="true" outlineLevel="0" collapsed="false">
      <c r="A32" s="94" t="n">
        <v>21</v>
      </c>
      <c r="B32" s="95"/>
      <c r="C32" s="96"/>
      <c r="D32" s="97"/>
      <c r="E32" s="98"/>
      <c r="F32" s="99"/>
      <c r="G32" s="100"/>
      <c r="H32" s="101" t="str">
        <f aca="false">IF(D32="","—",IF(D32&lt;9,"🔴 Rendah",IF(D32&lt;=13,"🟡 Sedang",IF(D32&lt;=17,"🟢 Tinggi","🔵 Sangat Tinggi"))))</f>
        <v>—</v>
      </c>
      <c r="I32" s="101" t="str">
        <f aca="false">IF(E32="","—",IF(E32&lt;9,"🔴 Rendah",IF(E32&lt;=13,"🟡 Sedang",IF(E32&lt;=17,"🟢 Tinggi","🔵 Sangat Tinggi"))))</f>
        <v>—</v>
      </c>
      <c r="J32" s="101" t="str">
        <f aca="false">IF(F32="","—",IF(F32&lt;9,"🔴 Rendah",IF(F32&lt;=13,"🟡 Sedang",IF(F32&lt;=17,"🟢 Tinggi","🔵 Sangat Tinggi"))))</f>
        <v>—</v>
      </c>
      <c r="K32" s="101" t="str">
        <f aca="false">IF(G32="","—",IF(G32&lt;9,"🔴 Rendah",IF(G32&lt;=13,"🟡 Sedang",IF(G32&lt;=17,"🟢 Tinggi","🔵 Sangat Tinggi"))))</f>
        <v>—</v>
      </c>
    </row>
    <row r="33" customFormat="false" ht="24" hidden="false" customHeight="true" outlineLevel="0" collapsed="false">
      <c r="A33" s="94" t="n">
        <v>22</v>
      </c>
      <c r="B33" s="102"/>
      <c r="C33" s="103"/>
      <c r="D33" s="104"/>
      <c r="E33" s="104"/>
      <c r="F33" s="104"/>
      <c r="G33" s="104"/>
      <c r="H33" s="101" t="str">
        <f aca="false">IF(D33="","—",IF(D33&lt;9,"🔴 Rendah",IF(D33&lt;=13,"🟡 Sedang",IF(D33&lt;=17,"🟢 Tinggi","🔵 Sangat Tinggi"))))</f>
        <v>—</v>
      </c>
      <c r="I33" s="101" t="str">
        <f aca="false">IF(E33="","—",IF(E33&lt;9,"🔴 Rendah",IF(E33&lt;=13,"🟡 Sedang",IF(E33&lt;=17,"🟢 Tinggi","🔵 Sangat Tinggi"))))</f>
        <v>—</v>
      </c>
      <c r="J33" s="101" t="str">
        <f aca="false">IF(F33="","—",IF(F33&lt;9,"🔴 Rendah",IF(F33&lt;=13,"🟡 Sedang",IF(F33&lt;=17,"🟢 Tinggi","🔵 Sangat Tinggi"))))</f>
        <v>—</v>
      </c>
      <c r="K33" s="101" t="str">
        <f aca="false">IF(G33="","—",IF(G33&lt;9,"🔴 Rendah",IF(G33&lt;=13,"🟡 Sedang",IF(G33&lt;=17,"🟢 Tinggi","🔵 Sangat Tinggi"))))</f>
        <v>—</v>
      </c>
    </row>
    <row r="34" customFormat="false" ht="24" hidden="false" customHeight="true" outlineLevel="0" collapsed="false">
      <c r="A34" s="94" t="n">
        <v>23</v>
      </c>
      <c r="B34" s="95"/>
      <c r="C34" s="96"/>
      <c r="D34" s="97"/>
      <c r="E34" s="98"/>
      <c r="F34" s="99"/>
      <c r="G34" s="100"/>
      <c r="H34" s="101" t="str">
        <f aca="false">IF(D34="","—",IF(D34&lt;9,"🔴 Rendah",IF(D34&lt;=13,"🟡 Sedang",IF(D34&lt;=17,"🟢 Tinggi","🔵 Sangat Tinggi"))))</f>
        <v>—</v>
      </c>
      <c r="I34" s="101" t="str">
        <f aca="false">IF(E34="","—",IF(E34&lt;9,"🔴 Rendah",IF(E34&lt;=13,"🟡 Sedang",IF(E34&lt;=17,"🟢 Tinggi","🔵 Sangat Tinggi"))))</f>
        <v>—</v>
      </c>
      <c r="J34" s="101" t="str">
        <f aca="false">IF(F34="","—",IF(F34&lt;9,"🔴 Rendah",IF(F34&lt;=13,"🟡 Sedang",IF(F34&lt;=17,"🟢 Tinggi","🔵 Sangat Tinggi"))))</f>
        <v>—</v>
      </c>
      <c r="K34" s="101" t="str">
        <f aca="false">IF(G34="","—",IF(G34&lt;9,"🔴 Rendah",IF(G34&lt;=13,"🟡 Sedang",IF(G34&lt;=17,"🟢 Tinggi","🔵 Sangat Tinggi"))))</f>
        <v>—</v>
      </c>
    </row>
    <row r="35" customFormat="false" ht="24" hidden="false" customHeight="true" outlineLevel="0" collapsed="false">
      <c r="A35" s="94" t="n">
        <v>24</v>
      </c>
      <c r="B35" s="102"/>
      <c r="C35" s="103"/>
      <c r="D35" s="104"/>
      <c r="E35" s="104"/>
      <c r="F35" s="104"/>
      <c r="G35" s="104"/>
      <c r="H35" s="101" t="str">
        <f aca="false">IF(D35="","—",IF(D35&lt;9,"🔴 Rendah",IF(D35&lt;=13,"🟡 Sedang",IF(D35&lt;=17,"🟢 Tinggi","🔵 Sangat Tinggi"))))</f>
        <v>—</v>
      </c>
      <c r="I35" s="101" t="str">
        <f aca="false">IF(E35="","—",IF(E35&lt;9,"🔴 Rendah",IF(E35&lt;=13,"🟡 Sedang",IF(E35&lt;=17,"🟢 Tinggi","🔵 Sangat Tinggi"))))</f>
        <v>—</v>
      </c>
      <c r="J35" s="101" t="str">
        <f aca="false">IF(F35="","—",IF(F35&lt;9,"🔴 Rendah",IF(F35&lt;=13,"🟡 Sedang",IF(F35&lt;=17,"🟢 Tinggi","🔵 Sangat Tinggi"))))</f>
        <v>—</v>
      </c>
      <c r="K35" s="101" t="str">
        <f aca="false">IF(G35="","—",IF(G35&lt;9,"🔴 Rendah",IF(G35&lt;=13,"🟡 Sedang",IF(G35&lt;=17,"🟢 Tinggi","🔵 Sangat Tinggi"))))</f>
        <v>—</v>
      </c>
    </row>
    <row r="36" customFormat="false" ht="24" hidden="false" customHeight="true" outlineLevel="0" collapsed="false">
      <c r="A36" s="94" t="n">
        <v>25</v>
      </c>
      <c r="B36" s="95"/>
      <c r="C36" s="96"/>
      <c r="D36" s="97"/>
      <c r="E36" s="98"/>
      <c r="F36" s="99"/>
      <c r="G36" s="100"/>
      <c r="H36" s="101" t="str">
        <f aca="false">IF(D36="","—",IF(D36&lt;9,"🔴 Rendah",IF(D36&lt;=13,"🟡 Sedang",IF(D36&lt;=17,"🟢 Tinggi","🔵 Sangat Tinggi"))))</f>
        <v>—</v>
      </c>
      <c r="I36" s="101" t="str">
        <f aca="false">IF(E36="","—",IF(E36&lt;9,"🔴 Rendah",IF(E36&lt;=13,"🟡 Sedang",IF(E36&lt;=17,"🟢 Tinggi","🔵 Sangat Tinggi"))))</f>
        <v>—</v>
      </c>
      <c r="J36" s="101" t="str">
        <f aca="false">IF(F36="","—",IF(F36&lt;9,"🔴 Rendah",IF(F36&lt;=13,"🟡 Sedang",IF(F36&lt;=17,"🟢 Tinggi","🔵 Sangat Tinggi"))))</f>
        <v>—</v>
      </c>
      <c r="K36" s="101" t="str">
        <f aca="false">IF(G36="","—",IF(G36&lt;9,"🔴 Rendah",IF(G36&lt;=13,"🟡 Sedang",IF(G36&lt;=17,"🟢 Tinggi","🔵 Sangat Tinggi"))))</f>
        <v>—</v>
      </c>
    </row>
    <row r="37" customFormat="false" ht="24" hidden="false" customHeight="true" outlineLevel="0" collapsed="false">
      <c r="A37" s="94" t="n">
        <v>26</v>
      </c>
      <c r="B37" s="102"/>
      <c r="C37" s="103"/>
      <c r="D37" s="104"/>
      <c r="E37" s="104"/>
      <c r="F37" s="104"/>
      <c r="G37" s="104"/>
      <c r="H37" s="101" t="str">
        <f aca="false">IF(D37="","—",IF(D37&lt;9,"🔴 Rendah",IF(D37&lt;=13,"🟡 Sedang",IF(D37&lt;=17,"🟢 Tinggi","🔵 Sangat Tinggi"))))</f>
        <v>—</v>
      </c>
      <c r="I37" s="101" t="str">
        <f aca="false">IF(E37="","—",IF(E37&lt;9,"🔴 Rendah",IF(E37&lt;=13,"🟡 Sedang",IF(E37&lt;=17,"🟢 Tinggi","🔵 Sangat Tinggi"))))</f>
        <v>—</v>
      </c>
      <c r="J37" s="101" t="str">
        <f aca="false">IF(F37="","—",IF(F37&lt;9,"🔴 Rendah",IF(F37&lt;=13,"🟡 Sedang",IF(F37&lt;=17,"🟢 Tinggi","🔵 Sangat Tinggi"))))</f>
        <v>—</v>
      </c>
      <c r="K37" s="101" t="str">
        <f aca="false">IF(G37="","—",IF(G37&lt;9,"🔴 Rendah",IF(G37&lt;=13,"🟡 Sedang",IF(G37&lt;=17,"🟢 Tinggi","🔵 Sangat Tinggi"))))</f>
        <v>—</v>
      </c>
    </row>
    <row r="38" customFormat="false" ht="24" hidden="false" customHeight="true" outlineLevel="0" collapsed="false">
      <c r="A38" s="94" t="n">
        <v>27</v>
      </c>
      <c r="B38" s="95"/>
      <c r="C38" s="96"/>
      <c r="D38" s="97"/>
      <c r="E38" s="98"/>
      <c r="F38" s="99"/>
      <c r="G38" s="100"/>
      <c r="H38" s="101" t="str">
        <f aca="false">IF(D38="","—",IF(D38&lt;9,"🔴 Rendah",IF(D38&lt;=13,"🟡 Sedang",IF(D38&lt;=17,"🟢 Tinggi","🔵 Sangat Tinggi"))))</f>
        <v>—</v>
      </c>
      <c r="I38" s="101" t="str">
        <f aca="false">IF(E38="","—",IF(E38&lt;9,"🔴 Rendah",IF(E38&lt;=13,"🟡 Sedang",IF(E38&lt;=17,"🟢 Tinggi","🔵 Sangat Tinggi"))))</f>
        <v>—</v>
      </c>
      <c r="J38" s="101" t="str">
        <f aca="false">IF(F38="","—",IF(F38&lt;9,"🔴 Rendah",IF(F38&lt;=13,"🟡 Sedang",IF(F38&lt;=17,"🟢 Tinggi","🔵 Sangat Tinggi"))))</f>
        <v>—</v>
      </c>
      <c r="K38" s="101" t="str">
        <f aca="false">IF(G38="","—",IF(G38&lt;9,"🔴 Rendah",IF(G38&lt;=13,"🟡 Sedang",IF(G38&lt;=17,"🟢 Tinggi","🔵 Sangat Tinggi"))))</f>
        <v>—</v>
      </c>
    </row>
    <row r="39" customFormat="false" ht="24" hidden="false" customHeight="true" outlineLevel="0" collapsed="false">
      <c r="A39" s="94" t="n">
        <v>28</v>
      </c>
      <c r="B39" s="102"/>
      <c r="C39" s="103"/>
      <c r="D39" s="104"/>
      <c r="E39" s="104"/>
      <c r="F39" s="104"/>
      <c r="G39" s="104"/>
      <c r="H39" s="101" t="str">
        <f aca="false">IF(D39="","—",IF(D39&lt;9,"🔴 Rendah",IF(D39&lt;=13,"🟡 Sedang",IF(D39&lt;=17,"🟢 Tinggi","🔵 Sangat Tinggi"))))</f>
        <v>—</v>
      </c>
      <c r="I39" s="101" t="str">
        <f aca="false">IF(E39="","—",IF(E39&lt;9,"🔴 Rendah",IF(E39&lt;=13,"🟡 Sedang",IF(E39&lt;=17,"🟢 Tinggi","🔵 Sangat Tinggi"))))</f>
        <v>—</v>
      </c>
      <c r="J39" s="101" t="str">
        <f aca="false">IF(F39="","—",IF(F39&lt;9,"🔴 Rendah",IF(F39&lt;=13,"🟡 Sedang",IF(F39&lt;=17,"🟢 Tinggi","🔵 Sangat Tinggi"))))</f>
        <v>—</v>
      </c>
      <c r="K39" s="101" t="str">
        <f aca="false">IF(G39="","—",IF(G39&lt;9,"🔴 Rendah",IF(G39&lt;=13,"🟡 Sedang",IF(G39&lt;=17,"🟢 Tinggi","🔵 Sangat Tinggi"))))</f>
        <v>—</v>
      </c>
    </row>
    <row r="40" customFormat="false" ht="24" hidden="false" customHeight="true" outlineLevel="0" collapsed="false">
      <c r="A40" s="94" t="n">
        <v>29</v>
      </c>
      <c r="B40" s="95"/>
      <c r="C40" s="96"/>
      <c r="D40" s="97"/>
      <c r="E40" s="98"/>
      <c r="F40" s="99"/>
      <c r="G40" s="100"/>
      <c r="H40" s="101" t="str">
        <f aca="false">IF(D40="","—",IF(D40&lt;9,"🔴 Rendah",IF(D40&lt;=13,"🟡 Sedang",IF(D40&lt;=17,"🟢 Tinggi","🔵 Sangat Tinggi"))))</f>
        <v>—</v>
      </c>
      <c r="I40" s="101" t="str">
        <f aca="false">IF(E40="","—",IF(E40&lt;9,"🔴 Rendah",IF(E40&lt;=13,"🟡 Sedang",IF(E40&lt;=17,"🟢 Tinggi","🔵 Sangat Tinggi"))))</f>
        <v>—</v>
      </c>
      <c r="J40" s="101" t="str">
        <f aca="false">IF(F40="","—",IF(F40&lt;9,"🔴 Rendah",IF(F40&lt;=13,"🟡 Sedang",IF(F40&lt;=17,"🟢 Tinggi","🔵 Sangat Tinggi"))))</f>
        <v>—</v>
      </c>
      <c r="K40" s="101" t="str">
        <f aca="false">IF(G40="","—",IF(G40&lt;9,"🔴 Rendah",IF(G40&lt;=13,"🟡 Sedang",IF(G40&lt;=17,"🟢 Tinggi","🔵 Sangat Tinggi"))))</f>
        <v>—</v>
      </c>
    </row>
    <row r="41" customFormat="false" ht="24" hidden="false" customHeight="true" outlineLevel="0" collapsed="false">
      <c r="A41" s="94" t="n">
        <v>30</v>
      </c>
      <c r="B41" s="102"/>
      <c r="C41" s="103"/>
      <c r="D41" s="104"/>
      <c r="E41" s="104"/>
      <c r="F41" s="104"/>
      <c r="G41" s="104"/>
      <c r="H41" s="101" t="str">
        <f aca="false">IF(D41="","—",IF(D41&lt;9,"🔴 Rendah",IF(D41&lt;=13,"🟡 Sedang",IF(D41&lt;=17,"🟢 Tinggi","🔵 Sangat Tinggi"))))</f>
        <v>—</v>
      </c>
      <c r="I41" s="101" t="str">
        <f aca="false">IF(E41="","—",IF(E41&lt;9,"🔴 Rendah",IF(E41&lt;=13,"🟡 Sedang",IF(E41&lt;=17,"🟢 Tinggi","🔵 Sangat Tinggi"))))</f>
        <v>—</v>
      </c>
      <c r="J41" s="101" t="str">
        <f aca="false">IF(F41="","—",IF(F41&lt;9,"🔴 Rendah",IF(F41&lt;=13,"🟡 Sedang",IF(F41&lt;=17,"🟢 Tinggi","🔵 Sangat Tinggi"))))</f>
        <v>—</v>
      </c>
      <c r="K41" s="101" t="str">
        <f aca="false">IF(G41="","—",IF(G41&lt;9,"🔴 Rendah",IF(G41&lt;=13,"🟡 Sedang",IF(G41&lt;=17,"🟢 Tinggi","🔵 Sangat Tinggi"))))</f>
        <v>—</v>
      </c>
    </row>
    <row r="43" customFormat="false" ht="27.75" hidden="false" customHeight="true" outlineLevel="0" collapsed="false">
      <c r="A43" s="105" t="s">
        <v>301</v>
      </c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</row>
  </sheetData>
  <mergeCells count="9">
    <mergeCell ref="A1:L1"/>
    <mergeCell ref="A2:L2"/>
    <mergeCell ref="A4:L4"/>
    <mergeCell ref="C5:L5"/>
    <mergeCell ref="C6:L6"/>
    <mergeCell ref="C7:L7"/>
    <mergeCell ref="C8:L8"/>
    <mergeCell ref="C9:L9"/>
    <mergeCell ref="A43:L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7" min="4" style="0" width="8"/>
    <col collapsed="false" customWidth="true" hidden="false" outlineLevel="0" max="11" min="8" style="0" width="14"/>
    <col collapsed="false" customWidth="true" hidden="false" outlineLevel="0" max="12" min="12" style="0" width="18"/>
    <col collapsed="false" customWidth="true" hidden="false" outlineLevel="0" max="13" min="13" style="0" width="3"/>
  </cols>
  <sheetData>
    <row r="1" customFormat="false" ht="49.5" hidden="false" customHeight="true" outlineLevel="0" collapsed="false">
      <c r="A1" s="85" t="s">
        <v>302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customFormat="false" ht="24.75" hidden="false" customHeight="true" outlineLevel="0" collapsed="false">
      <c r="A2" s="86" t="s">
        <v>303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4" customFormat="false" ht="27.75" hidden="false" customHeight="true" outlineLevel="0" collapsed="false">
      <c r="A4" s="87" t="s">
        <v>304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</row>
    <row r="5" customFormat="false" ht="27.75" hidden="false" customHeight="true" outlineLevel="0" collapsed="false">
      <c r="A5" s="106" t="s">
        <v>191</v>
      </c>
      <c r="B5" s="106"/>
      <c r="C5" s="107" t="s">
        <v>305</v>
      </c>
      <c r="D5" s="107"/>
      <c r="E5" s="107"/>
      <c r="F5" s="107"/>
      <c r="G5" s="107"/>
      <c r="H5" s="107"/>
      <c r="I5" s="107"/>
      <c r="J5" s="107"/>
      <c r="K5" s="107"/>
      <c r="L5" s="107"/>
      <c r="M5" s="107"/>
    </row>
    <row r="6" customFormat="false" ht="27.75" hidden="false" customHeight="true" outlineLevel="0" collapsed="false">
      <c r="A6" s="108" t="s">
        <v>193</v>
      </c>
      <c r="B6" s="108"/>
      <c r="C6" s="107" t="s">
        <v>306</v>
      </c>
      <c r="D6" s="107"/>
      <c r="E6" s="107"/>
      <c r="F6" s="107"/>
      <c r="G6" s="107"/>
      <c r="H6" s="107"/>
      <c r="I6" s="107"/>
      <c r="J6" s="107"/>
      <c r="K6" s="107"/>
      <c r="L6" s="107"/>
      <c r="M6" s="107"/>
    </row>
    <row r="7" customFormat="false" ht="27.75" hidden="false" customHeight="true" outlineLevel="0" collapsed="false">
      <c r="A7" s="109" t="s">
        <v>307</v>
      </c>
      <c r="B7" s="109"/>
      <c r="C7" s="107" t="s">
        <v>308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</row>
    <row r="8" customFormat="false" ht="27.75" hidden="false" customHeight="true" outlineLevel="0" collapsed="false">
      <c r="A8" s="110" t="s">
        <v>197</v>
      </c>
      <c r="B8" s="110"/>
      <c r="C8" s="107" t="s">
        <v>309</v>
      </c>
      <c r="D8" s="107"/>
      <c r="E8" s="107"/>
      <c r="F8" s="107"/>
      <c r="G8" s="107"/>
      <c r="H8" s="107"/>
      <c r="I8" s="107"/>
      <c r="J8" s="107"/>
      <c r="K8" s="107"/>
      <c r="L8" s="107"/>
      <c r="M8" s="107"/>
    </row>
    <row r="10" customFormat="false" ht="54.75" hidden="false" customHeight="true" outlineLevel="0" collapsed="false">
      <c r="A10" s="19" t="s">
        <v>30</v>
      </c>
      <c r="B10" s="19" t="s">
        <v>279</v>
      </c>
      <c r="C10" s="19" t="s">
        <v>310</v>
      </c>
      <c r="D10" s="37" t="s">
        <v>37</v>
      </c>
      <c r="E10" s="44" t="s">
        <v>44</v>
      </c>
      <c r="F10" s="46" t="s">
        <v>47</v>
      </c>
      <c r="G10" s="42" t="s">
        <v>41</v>
      </c>
      <c r="H10" s="106" t="s">
        <v>311</v>
      </c>
      <c r="I10" s="108" t="s">
        <v>312</v>
      </c>
      <c r="J10" s="109" t="s">
        <v>313</v>
      </c>
      <c r="K10" s="110" t="s">
        <v>314</v>
      </c>
      <c r="L10" s="36" t="s">
        <v>315</v>
      </c>
    </row>
    <row r="11" customFormat="false" ht="24" hidden="false" customHeight="true" outlineLevel="0" collapsed="false">
      <c r="A11" s="94" t="n">
        <v>1</v>
      </c>
      <c r="B11" s="95" t="str">
        <f aca="false">'📥 Input Skor GForm'!B12</f>
        <v>Tiara Nabila</v>
      </c>
      <c r="C11" s="96" t="str">
        <f aca="false">'📥 Input Skor GForm'!C12</f>
        <v>Easy Legal</v>
      </c>
      <c r="D11" s="111" t="n">
        <f aca="false">'📥 Input Skor GForm'!D12</f>
        <v>7</v>
      </c>
      <c r="E11" s="111" t="n">
        <f aca="false">'📥 Input Skor GForm'!E12</f>
        <v>20</v>
      </c>
      <c r="F11" s="111" t="n">
        <f aca="false">'📥 Input Skor GForm'!F12</f>
        <v>8</v>
      </c>
      <c r="G11" s="111" t="n">
        <f aca="false">'📥 Input Skor GForm'!G12</f>
        <v>6</v>
      </c>
      <c r="H11" s="112" t="n">
        <f aca="false">IF(OR(D11="",F11=""),"—",MIN(100, IF(F11&gt;=18,50,IF(F11&gt;=14,38,IF(F11&gt;=9,20,5))) + IF(D11&gt;=14,28,IF(D11&gt;=9,18,8)) + IF(G11&lt;9,12,IF(G11&lt;=13,6,0)) + IF(E11&lt;9,10,IF(E11&lt;=13,5,0))))</f>
        <v>25</v>
      </c>
      <c r="I11" s="112" t="n">
        <f aca="false">IF(OR(E11="",G11=""),"—",MIN(100, IF(E11&gt;=18,48,IF(E11&gt;=14,36,IF(E11&gt;=9,20,5))) + IF(G11&gt;=14,28,IF(G11&gt;=9,18,8)) + IF(D11&lt;9,12,IF(D11&lt;=13,6,0)) + IF(F11&lt;=13,12,IF(F11&lt;=17,6,0))))</f>
        <v>80</v>
      </c>
      <c r="J11" s="112" t="n">
        <f aca="false">IF(OR(D11="",G11=""),"—",MIN(100, IF(D11&gt;=18,48,IF(D11&gt;=14,36,IF(D11&gt;=9,20,5))) + IF(G11&gt;=14,30,IF(G11&gt;=9,18,8)) + IF(E11&lt;9,12,IF(E11&lt;=13,6,0)) + IF(F11&lt;=13,10,IF(F11&lt;=17,5,0))))</f>
        <v>23</v>
      </c>
      <c r="K11" s="112" t="n">
        <f aca="false">IF(OR(G11="",D11=""),"—",MIN(100, IF(G11&gt;=18,50,IF(G11&gt;=14,38,IF(G11&gt;=9,20,5))) + IF(D11&gt;=14,28,IF(D11&gt;=9,18,8)) + IF(F11&lt;9,12,IF(F11&lt;=13,6,0)) + IF(E11&lt;9,10,IF(E11&lt;=13,5,0))))</f>
        <v>25</v>
      </c>
      <c r="L11" s="113" t="str">
        <f aca="false">IF(OR(H11="—",I11="—"),"Isi skor dulu",IF(MAX(H11,I11,J11,K11)=H11,"⚖️ Legal Officer",IF(MAX(H11,I11,J11,K11)=I11,"🎧 Customer Care/CRM",IF(MAX(H11,I11,J11,K11)=J11,"🎯 PLA Closing","📣 Marketing"))))</f>
        <v>🎧 Customer Care/CRM</v>
      </c>
    </row>
    <row r="12" customFormat="false" ht="24" hidden="false" customHeight="true" outlineLevel="0" collapsed="false">
      <c r="A12" s="94" t="n">
        <v>2</v>
      </c>
      <c r="B12" s="102" t="str">
        <f aca="false">'📥 Input Skor GForm'!B13</f>
        <v>Amnila Hanisah Rifainy</v>
      </c>
      <c r="C12" s="103" t="str">
        <f aca="false">'📥 Input Skor GForm'!C13</f>
        <v>Easy Legal</v>
      </c>
      <c r="D12" s="114" t="n">
        <f aca="false">'📥 Input Skor GForm'!D13</f>
        <v>3</v>
      </c>
      <c r="E12" s="114" t="n">
        <f aca="false">'📥 Input Skor GForm'!E13</f>
        <v>20</v>
      </c>
      <c r="F12" s="114" t="n">
        <f aca="false">'📥 Input Skor GForm'!F13</f>
        <v>14</v>
      </c>
      <c r="G12" s="114" t="n">
        <f aca="false">'📥 Input Skor GForm'!G13</f>
        <v>7</v>
      </c>
      <c r="H12" s="112" t="n">
        <f aca="false">IF(OR(D12="",F12=""),"—",MIN(100, IF(F12&gt;=18,50,IF(F12&gt;=14,38,IF(F12&gt;=9,20,5))) + IF(D12&gt;=14,28,IF(D12&gt;=9,18,8)) + IF(G12&lt;9,12,IF(G12&lt;=13,6,0)) + IF(E12&lt;9,10,IF(E12&lt;=13,5,0))))</f>
        <v>58</v>
      </c>
      <c r="I12" s="112" t="n">
        <f aca="false">IF(OR(E12="",G12=""),"—",MIN(100, IF(E12&gt;=18,48,IF(E12&gt;=14,36,IF(E12&gt;=9,20,5))) + IF(G12&gt;=14,28,IF(G12&gt;=9,18,8)) + IF(D12&lt;9,12,IF(D12&lt;=13,6,0)) + IF(F12&lt;=13,12,IF(F12&lt;=17,6,0))))</f>
        <v>74</v>
      </c>
      <c r="J12" s="112" t="n">
        <f aca="false">IF(OR(D12="",G12=""),"—",MIN(100, IF(D12&gt;=18,48,IF(D12&gt;=14,36,IF(D12&gt;=9,20,5))) + IF(G12&gt;=14,30,IF(G12&gt;=9,18,8)) + IF(E12&lt;9,12,IF(E12&lt;=13,6,0)) + IF(F12&lt;=13,10,IF(F12&lt;=17,5,0))))</f>
        <v>18</v>
      </c>
      <c r="K12" s="112" t="n">
        <f aca="false">IF(OR(G12="",D12=""),"—",MIN(100, IF(G12&gt;=18,50,IF(G12&gt;=14,38,IF(G12&gt;=9,20,5))) + IF(D12&gt;=14,28,IF(D12&gt;=9,18,8)) + IF(F12&lt;9,12,IF(F12&lt;=13,6,0)) + IF(E12&lt;9,10,IF(E12&lt;=13,5,0))))</f>
        <v>13</v>
      </c>
      <c r="L12" s="115" t="str">
        <f aca="false">IF(OR(H12="—",I12="—"),"Isi skor dulu",IF(MAX(H12,I12,J12,K12)=H12,"⚖️ Legal Officer",IF(MAX(H12,I12,J12,K12)=I12,"🎧 Customer Care/CRM",IF(MAX(H12,I12,J12,K12)=J12,"🎯 PLA Closing","📣 Marketing"))))</f>
        <v>🎧 Customer Care/CRM</v>
      </c>
    </row>
    <row r="13" customFormat="false" ht="24" hidden="false" customHeight="true" outlineLevel="0" collapsed="false">
      <c r="A13" s="94" t="n">
        <v>3</v>
      </c>
      <c r="B13" s="95" t="str">
        <f aca="false">'📥 Input Skor GForm'!B14</f>
        <v>Fika Nur Fatmala</v>
      </c>
      <c r="C13" s="96" t="str">
        <f aca="false">'📥 Input Skor GForm'!C14</f>
        <v>Easy Legal</v>
      </c>
      <c r="D13" s="111" t="n">
        <f aca="false">'📥 Input Skor GForm'!D14</f>
        <v>4</v>
      </c>
      <c r="E13" s="111" t="n">
        <f aca="false">'📥 Input Skor GForm'!E14</f>
        <v>16</v>
      </c>
      <c r="F13" s="111" t="n">
        <f aca="false">'📥 Input Skor GForm'!F14</f>
        <v>14</v>
      </c>
      <c r="G13" s="111" t="n">
        <f aca="false">'📥 Input Skor GForm'!G14</f>
        <v>8</v>
      </c>
      <c r="H13" s="112" t="n">
        <f aca="false">IF(OR(D13="",F13=""),"—",MIN(100, IF(F13&gt;=18,50,IF(F13&gt;=14,38,IF(F13&gt;=9,20,5))) + IF(D13&gt;=14,28,IF(D13&gt;=9,18,8)) + IF(G13&lt;9,12,IF(G13&lt;=13,6,0)) + IF(E13&lt;9,10,IF(E13&lt;=13,5,0))))</f>
        <v>58</v>
      </c>
      <c r="I13" s="112" t="n">
        <f aca="false">IF(OR(E13="",G13=""),"—",MIN(100, IF(E13&gt;=18,48,IF(E13&gt;=14,36,IF(E13&gt;=9,20,5))) + IF(G13&gt;=14,28,IF(G13&gt;=9,18,8)) + IF(D13&lt;9,12,IF(D13&lt;=13,6,0)) + IF(F13&lt;=13,12,IF(F13&lt;=17,6,0))))</f>
        <v>62</v>
      </c>
      <c r="J13" s="112" t="n">
        <f aca="false">IF(OR(D13="",G13=""),"—",MIN(100, IF(D13&gt;=18,48,IF(D13&gt;=14,36,IF(D13&gt;=9,20,5))) + IF(G13&gt;=14,30,IF(G13&gt;=9,18,8)) + IF(E13&lt;9,12,IF(E13&lt;=13,6,0)) + IF(F13&lt;=13,10,IF(F13&lt;=17,5,0))))</f>
        <v>18</v>
      </c>
      <c r="K13" s="112" t="n">
        <f aca="false">IF(OR(G13="",D13=""),"—",MIN(100, IF(G13&gt;=18,50,IF(G13&gt;=14,38,IF(G13&gt;=9,20,5))) + IF(D13&gt;=14,28,IF(D13&gt;=9,18,8)) + IF(F13&lt;9,12,IF(F13&lt;=13,6,0)) + IF(E13&lt;9,10,IF(E13&lt;=13,5,0))))</f>
        <v>13</v>
      </c>
      <c r="L13" s="113" t="str">
        <f aca="false">IF(OR(H13="—",I13="—"),"Isi skor dulu",IF(MAX(H13,I13,J13,K13)=H13,"⚖️ Legal Officer",IF(MAX(H13,I13,J13,K13)=I13,"🎧 Customer Care/CRM",IF(MAX(H13,I13,J13,K13)=J13,"🎯 PLA Closing","📣 Marketing"))))</f>
        <v>🎧 Customer Care/CRM</v>
      </c>
    </row>
    <row r="14" customFormat="false" ht="24" hidden="false" customHeight="true" outlineLevel="0" collapsed="false">
      <c r="A14" s="94" t="n">
        <v>4</v>
      </c>
      <c r="B14" s="102" t="str">
        <f aca="false">'📥 Input Skor GForm'!B15</f>
        <v>Fauzia Rahmawati</v>
      </c>
      <c r="C14" s="103" t="str">
        <f aca="false">'📥 Input Skor GForm'!C15</f>
        <v>Easy Legal</v>
      </c>
      <c r="D14" s="114" t="n">
        <f aca="false">'📥 Input Skor GForm'!D15</f>
        <v>3</v>
      </c>
      <c r="E14" s="114" t="n">
        <f aca="false">'📥 Input Skor GForm'!E15</f>
        <v>16</v>
      </c>
      <c r="F14" s="114" t="n">
        <f aca="false">'📥 Input Skor GForm'!F15</f>
        <v>12</v>
      </c>
      <c r="G14" s="114" t="n">
        <f aca="false">'📥 Input Skor GForm'!G15</f>
        <v>10</v>
      </c>
      <c r="H14" s="112" t="n">
        <f aca="false">IF(OR(D14="",F14=""),"—",MIN(100, IF(F14&gt;=18,50,IF(F14&gt;=14,38,IF(F14&gt;=9,20,5))) + IF(D14&gt;=14,28,IF(D14&gt;=9,18,8)) + IF(G14&lt;9,12,IF(G14&lt;=13,6,0)) + IF(E14&lt;9,10,IF(E14&lt;=13,5,0))))</f>
        <v>34</v>
      </c>
      <c r="I14" s="112" t="n">
        <f aca="false">IF(OR(E14="",G14=""),"—",MIN(100, IF(E14&gt;=18,48,IF(E14&gt;=14,36,IF(E14&gt;=9,20,5))) + IF(G14&gt;=14,28,IF(G14&gt;=9,18,8)) + IF(D14&lt;9,12,IF(D14&lt;=13,6,0)) + IF(F14&lt;=13,12,IF(F14&lt;=17,6,0))))</f>
        <v>78</v>
      </c>
      <c r="J14" s="112" t="n">
        <f aca="false">IF(OR(D14="",G14=""),"—",MIN(100, IF(D14&gt;=18,48,IF(D14&gt;=14,36,IF(D14&gt;=9,20,5))) + IF(G14&gt;=14,30,IF(G14&gt;=9,18,8)) + IF(E14&lt;9,12,IF(E14&lt;=13,6,0)) + IF(F14&lt;=13,10,IF(F14&lt;=17,5,0))))</f>
        <v>33</v>
      </c>
      <c r="K14" s="112" t="n">
        <f aca="false">IF(OR(G14="",D14=""),"—",MIN(100, IF(G14&gt;=18,50,IF(G14&gt;=14,38,IF(G14&gt;=9,20,5))) + IF(D14&gt;=14,28,IF(D14&gt;=9,18,8)) + IF(F14&lt;9,12,IF(F14&lt;=13,6,0)) + IF(E14&lt;9,10,IF(E14&lt;=13,5,0))))</f>
        <v>34</v>
      </c>
      <c r="L14" s="115" t="str">
        <f aca="false">IF(OR(H14="—",I14="—"),"Isi skor dulu",IF(MAX(H14,I14,J14,K14)=H14,"⚖️ Legal Officer",IF(MAX(H14,I14,J14,K14)=I14,"🎧 Customer Care/CRM",IF(MAX(H14,I14,J14,K14)=J14,"🎯 PLA Closing","📣 Marketing"))))</f>
        <v>🎧 Customer Care/CRM</v>
      </c>
    </row>
    <row r="15" customFormat="false" ht="24" hidden="false" customHeight="true" outlineLevel="0" collapsed="false">
      <c r="A15" s="94" t="n">
        <v>5</v>
      </c>
      <c r="B15" s="95" t="str">
        <f aca="false">'📥 Input Skor GForm'!B16</f>
        <v>SALMAN ARYANA</v>
      </c>
      <c r="C15" s="96" t="str">
        <f aca="false">'📥 Input Skor GForm'!C16</f>
        <v>Easy Legal</v>
      </c>
      <c r="D15" s="111" t="n">
        <f aca="false">'📥 Input Skor GForm'!D16</f>
        <v>10</v>
      </c>
      <c r="E15" s="111" t="n">
        <f aca="false">'📥 Input Skor GForm'!E16</f>
        <v>15</v>
      </c>
      <c r="F15" s="111" t="n">
        <f aca="false">'📥 Input Skor GForm'!F16</f>
        <v>12</v>
      </c>
      <c r="G15" s="111" t="n">
        <f aca="false">'📥 Input Skor GForm'!G16</f>
        <v>4</v>
      </c>
      <c r="H15" s="112" t="n">
        <f aca="false">IF(OR(D15="",F15=""),"—",MIN(100, IF(F15&gt;=18,50,IF(F15&gt;=14,38,IF(F15&gt;=9,20,5))) + IF(D15&gt;=14,28,IF(D15&gt;=9,18,8)) + IF(G15&lt;9,12,IF(G15&lt;=13,6,0)) + IF(E15&lt;9,10,IF(E15&lt;=13,5,0))))</f>
        <v>50</v>
      </c>
      <c r="I15" s="112" t="n">
        <f aca="false">IF(OR(E15="",G15=""),"—",MIN(100, IF(E15&gt;=18,48,IF(E15&gt;=14,36,IF(E15&gt;=9,20,5))) + IF(G15&gt;=14,28,IF(G15&gt;=9,18,8)) + IF(D15&lt;9,12,IF(D15&lt;=13,6,0)) + IF(F15&lt;=13,12,IF(F15&lt;=17,6,0))))</f>
        <v>62</v>
      </c>
      <c r="J15" s="112" t="n">
        <f aca="false">IF(OR(D15="",G15=""),"—",MIN(100, IF(D15&gt;=18,48,IF(D15&gt;=14,36,IF(D15&gt;=9,20,5))) + IF(G15&gt;=14,30,IF(G15&gt;=9,18,8)) + IF(E15&lt;9,12,IF(E15&lt;=13,6,0)) + IF(F15&lt;=13,10,IF(F15&lt;=17,5,0))))</f>
        <v>38</v>
      </c>
      <c r="K15" s="112" t="n">
        <f aca="false">IF(OR(G15="",D15=""),"—",MIN(100, IF(G15&gt;=18,50,IF(G15&gt;=14,38,IF(G15&gt;=9,20,5))) + IF(D15&gt;=14,28,IF(D15&gt;=9,18,8)) + IF(F15&lt;9,12,IF(F15&lt;=13,6,0)) + IF(E15&lt;9,10,IF(E15&lt;=13,5,0))))</f>
        <v>29</v>
      </c>
      <c r="L15" s="113" t="str">
        <f aca="false">IF(OR(H15="—",I15="—"),"Isi skor dulu",IF(MAX(H15,I15,J15,K15)=H15,"⚖️ Legal Officer",IF(MAX(H15,I15,J15,K15)=I15,"🎧 Customer Care/CRM",IF(MAX(H15,I15,J15,K15)=J15,"🎯 PLA Closing","📣 Marketing"))))</f>
        <v>🎧 Customer Care/CRM</v>
      </c>
    </row>
    <row r="16" customFormat="false" ht="24" hidden="false" customHeight="true" outlineLevel="0" collapsed="false">
      <c r="A16" s="94" t="n">
        <v>6</v>
      </c>
      <c r="B16" s="102" t="str">
        <f aca="false">'📥 Input Skor GForm'!B17</f>
        <v>Wulan Eka Refiana</v>
      </c>
      <c r="C16" s="103" t="str">
        <f aca="false">'📥 Input Skor GForm'!C17</f>
        <v>Easy Legal</v>
      </c>
      <c r="D16" s="114" t="n">
        <f aca="false">'📥 Input Skor GForm'!D17</f>
        <v>6</v>
      </c>
      <c r="E16" s="114" t="n">
        <f aca="false">'📥 Input Skor GForm'!E17</f>
        <v>15</v>
      </c>
      <c r="F16" s="114" t="n">
        <f aca="false">'📥 Input Skor GForm'!F17</f>
        <v>16</v>
      </c>
      <c r="G16" s="114" t="n">
        <f aca="false">'📥 Input Skor GForm'!G17</f>
        <v>4</v>
      </c>
      <c r="H16" s="112" t="n">
        <f aca="false">IF(OR(D16="",F16=""),"—",MIN(100, IF(F16&gt;=18,50,IF(F16&gt;=14,38,IF(F16&gt;=9,20,5))) + IF(D16&gt;=14,28,IF(D16&gt;=9,18,8)) + IF(G16&lt;9,12,IF(G16&lt;=13,6,0)) + IF(E16&lt;9,10,IF(E16&lt;=13,5,0))))</f>
        <v>58</v>
      </c>
      <c r="I16" s="112" t="n">
        <f aca="false">IF(OR(E16="",G16=""),"—",MIN(100, IF(E16&gt;=18,48,IF(E16&gt;=14,36,IF(E16&gt;=9,20,5))) + IF(G16&gt;=14,28,IF(G16&gt;=9,18,8)) + IF(D16&lt;9,12,IF(D16&lt;=13,6,0)) + IF(F16&lt;=13,12,IF(F16&lt;=17,6,0))))</f>
        <v>62</v>
      </c>
      <c r="J16" s="112" t="n">
        <f aca="false">IF(OR(D16="",G16=""),"—",MIN(100, IF(D16&gt;=18,48,IF(D16&gt;=14,36,IF(D16&gt;=9,20,5))) + IF(G16&gt;=14,30,IF(G16&gt;=9,18,8)) + IF(E16&lt;9,12,IF(E16&lt;=13,6,0)) + IF(F16&lt;=13,10,IF(F16&lt;=17,5,0))))</f>
        <v>18</v>
      </c>
      <c r="K16" s="112" t="n">
        <f aca="false">IF(OR(G16="",D16=""),"—",MIN(100, IF(G16&gt;=18,50,IF(G16&gt;=14,38,IF(G16&gt;=9,20,5))) + IF(D16&gt;=14,28,IF(D16&gt;=9,18,8)) + IF(F16&lt;9,12,IF(F16&lt;=13,6,0)) + IF(E16&lt;9,10,IF(E16&lt;=13,5,0))))</f>
        <v>13</v>
      </c>
      <c r="L16" s="115" t="str">
        <f aca="false">IF(OR(H16="—",I16="—"),"Isi skor dulu",IF(MAX(H16,I16,J16,K16)=H16,"⚖️ Legal Officer",IF(MAX(H16,I16,J16,K16)=I16,"🎧 Customer Care/CRM",IF(MAX(H16,I16,J16,K16)=J16,"🎯 PLA Closing","📣 Marketing"))))</f>
        <v>🎧 Customer Care/CRM</v>
      </c>
    </row>
    <row r="17" customFormat="false" ht="24" hidden="false" customHeight="true" outlineLevel="0" collapsed="false">
      <c r="A17" s="94" t="n">
        <v>7</v>
      </c>
      <c r="B17" s="95" t="str">
        <f aca="false">'📥 Input Skor GForm'!B18</f>
        <v>Mulyanasari (Riri)</v>
      </c>
      <c r="C17" s="96" t="str">
        <f aca="false">'📥 Input Skor GForm'!C18</f>
        <v>Easy Legal</v>
      </c>
      <c r="D17" s="111" t="n">
        <f aca="false">'📥 Input Skor GForm'!D18</f>
        <v>4</v>
      </c>
      <c r="E17" s="111" t="n">
        <f aca="false">'📥 Input Skor GForm'!E18</f>
        <v>15</v>
      </c>
      <c r="F17" s="111" t="n">
        <f aca="false">'📥 Input Skor GForm'!F18</f>
        <v>16</v>
      </c>
      <c r="G17" s="111" t="n">
        <f aca="false">'📥 Input Skor GForm'!G18</f>
        <v>6</v>
      </c>
      <c r="H17" s="112" t="n">
        <f aca="false">IF(OR(D17="",F17=""),"—",MIN(100, IF(F17&gt;=18,50,IF(F17&gt;=14,38,IF(F17&gt;=9,20,5))) + IF(D17&gt;=14,28,IF(D17&gt;=9,18,8)) + IF(G17&lt;9,12,IF(G17&lt;=13,6,0)) + IF(E17&lt;9,10,IF(E17&lt;=13,5,0))))</f>
        <v>58</v>
      </c>
      <c r="I17" s="112" t="n">
        <f aca="false">IF(OR(E17="",G17=""),"—",MIN(100, IF(E17&gt;=18,48,IF(E17&gt;=14,36,IF(E17&gt;=9,20,5))) + IF(G17&gt;=14,28,IF(G17&gt;=9,18,8)) + IF(D17&lt;9,12,IF(D17&lt;=13,6,0)) + IF(F17&lt;=13,12,IF(F17&lt;=17,6,0))))</f>
        <v>62</v>
      </c>
      <c r="J17" s="112" t="n">
        <f aca="false">IF(OR(D17="",G17=""),"—",MIN(100, IF(D17&gt;=18,48,IF(D17&gt;=14,36,IF(D17&gt;=9,20,5))) + IF(G17&gt;=14,30,IF(G17&gt;=9,18,8)) + IF(E17&lt;9,12,IF(E17&lt;=13,6,0)) + IF(F17&lt;=13,10,IF(F17&lt;=17,5,0))))</f>
        <v>18</v>
      </c>
      <c r="K17" s="112" t="n">
        <f aca="false">IF(OR(G17="",D17=""),"—",MIN(100, IF(G17&gt;=18,50,IF(G17&gt;=14,38,IF(G17&gt;=9,20,5))) + IF(D17&gt;=14,28,IF(D17&gt;=9,18,8)) + IF(F17&lt;9,12,IF(F17&lt;=13,6,0)) + IF(E17&lt;9,10,IF(E17&lt;=13,5,0))))</f>
        <v>13</v>
      </c>
      <c r="L17" s="113" t="str">
        <f aca="false">IF(OR(H17="—",I17="—"),"Isi skor dulu",IF(MAX(H17,I17,J17,K17)=H17,"⚖️ Legal Officer",IF(MAX(H17,I17,J17,K17)=I17,"🎧 Customer Care/CRM",IF(MAX(H17,I17,J17,K17)=J17,"🎯 PLA Closing","📣 Marketing"))))</f>
        <v>🎧 Customer Care/CRM</v>
      </c>
    </row>
    <row r="18" customFormat="false" ht="24" hidden="false" customHeight="true" outlineLevel="0" collapsed="false">
      <c r="A18" s="94" t="n">
        <v>8</v>
      </c>
      <c r="B18" s="102" t="str">
        <f aca="false">'📥 Input Skor GForm'!B19</f>
        <v>yumita</v>
      </c>
      <c r="C18" s="103" t="str">
        <f aca="false">'📥 Input Skor GForm'!C19</f>
        <v>Easy Legal</v>
      </c>
      <c r="D18" s="114" t="n">
        <f aca="false">'📥 Input Skor GForm'!D19</f>
        <v>7</v>
      </c>
      <c r="E18" s="114" t="n">
        <f aca="false">'📥 Input Skor GForm'!E19</f>
        <v>14</v>
      </c>
      <c r="F18" s="114" t="n">
        <f aca="false">'📥 Input Skor GForm'!F19</f>
        <v>11</v>
      </c>
      <c r="G18" s="114" t="n">
        <f aca="false">'📥 Input Skor GForm'!G19</f>
        <v>9</v>
      </c>
      <c r="H18" s="112" t="n">
        <f aca="false">IF(OR(D18="",F18=""),"—",MIN(100, IF(F18&gt;=18,50,IF(F18&gt;=14,38,IF(F18&gt;=9,20,5))) + IF(D18&gt;=14,28,IF(D18&gt;=9,18,8)) + IF(G18&lt;9,12,IF(G18&lt;=13,6,0)) + IF(E18&lt;9,10,IF(E18&lt;=13,5,0))))</f>
        <v>34</v>
      </c>
      <c r="I18" s="112" t="n">
        <f aca="false">IF(OR(E18="",G18=""),"—",MIN(100, IF(E18&gt;=18,48,IF(E18&gt;=14,36,IF(E18&gt;=9,20,5))) + IF(G18&gt;=14,28,IF(G18&gt;=9,18,8)) + IF(D18&lt;9,12,IF(D18&lt;=13,6,0)) + IF(F18&lt;=13,12,IF(F18&lt;=17,6,0))))</f>
        <v>78</v>
      </c>
      <c r="J18" s="112" t="n">
        <f aca="false">IF(OR(D18="",G18=""),"—",MIN(100, IF(D18&gt;=18,48,IF(D18&gt;=14,36,IF(D18&gt;=9,20,5))) + IF(G18&gt;=14,30,IF(G18&gt;=9,18,8)) + IF(E18&lt;9,12,IF(E18&lt;=13,6,0)) + IF(F18&lt;=13,10,IF(F18&lt;=17,5,0))))</f>
        <v>33</v>
      </c>
      <c r="K18" s="112" t="n">
        <f aca="false">IF(OR(G18="",D18=""),"—",MIN(100, IF(G18&gt;=18,50,IF(G18&gt;=14,38,IF(G18&gt;=9,20,5))) + IF(D18&gt;=14,28,IF(D18&gt;=9,18,8)) + IF(F18&lt;9,12,IF(F18&lt;=13,6,0)) + IF(E18&lt;9,10,IF(E18&lt;=13,5,0))))</f>
        <v>34</v>
      </c>
      <c r="L18" s="115" t="str">
        <f aca="false">IF(OR(H18="—",I18="—"),"Isi skor dulu",IF(MAX(H18,I18,J18,K18)=H18,"⚖️ Legal Officer",IF(MAX(H18,I18,J18,K18)=I18,"🎧 Customer Care/CRM",IF(MAX(H18,I18,J18,K18)=J18,"🎯 PLA Closing","📣 Marketing"))))</f>
        <v>🎧 Customer Care/CRM</v>
      </c>
    </row>
    <row r="19" customFormat="false" ht="24" hidden="false" customHeight="true" outlineLevel="0" collapsed="false">
      <c r="A19" s="94" t="n">
        <v>9</v>
      </c>
      <c r="B19" s="95" t="str">
        <f aca="false">'📥 Input Skor GForm'!B20</f>
        <v>Ela Yuniar</v>
      </c>
      <c r="C19" s="96" t="str">
        <f aca="false">'📥 Input Skor GForm'!C20</f>
        <v>Easy Legal</v>
      </c>
      <c r="D19" s="111" t="n">
        <f aca="false">'📥 Input Skor GForm'!D20</f>
        <v>3</v>
      </c>
      <c r="E19" s="111" t="n">
        <f aca="false">'📥 Input Skor GForm'!E20</f>
        <v>14</v>
      </c>
      <c r="F19" s="111" t="n">
        <f aca="false">'📥 Input Skor GForm'!F20</f>
        <v>15</v>
      </c>
      <c r="G19" s="111" t="n">
        <f aca="false">'📥 Input Skor GForm'!G20</f>
        <v>9</v>
      </c>
      <c r="H19" s="112" t="n">
        <f aca="false">IF(OR(D19="",F19=""),"—",MIN(100, IF(F19&gt;=18,50,IF(F19&gt;=14,38,IF(F19&gt;=9,20,5))) + IF(D19&gt;=14,28,IF(D19&gt;=9,18,8)) + IF(G19&lt;9,12,IF(G19&lt;=13,6,0)) + IF(E19&lt;9,10,IF(E19&lt;=13,5,0))))</f>
        <v>52</v>
      </c>
      <c r="I19" s="112" t="n">
        <f aca="false">IF(OR(E19="",G19=""),"—",MIN(100, IF(E19&gt;=18,48,IF(E19&gt;=14,36,IF(E19&gt;=9,20,5))) + IF(G19&gt;=14,28,IF(G19&gt;=9,18,8)) + IF(D19&lt;9,12,IF(D19&lt;=13,6,0)) + IF(F19&lt;=13,12,IF(F19&lt;=17,6,0))))</f>
        <v>72</v>
      </c>
      <c r="J19" s="112" t="n">
        <f aca="false">IF(OR(D19="",G19=""),"—",MIN(100, IF(D19&gt;=18,48,IF(D19&gt;=14,36,IF(D19&gt;=9,20,5))) + IF(G19&gt;=14,30,IF(G19&gt;=9,18,8)) + IF(E19&lt;9,12,IF(E19&lt;=13,6,0)) + IF(F19&lt;=13,10,IF(F19&lt;=17,5,0))))</f>
        <v>28</v>
      </c>
      <c r="K19" s="112" t="n">
        <f aca="false">IF(OR(G19="",D19=""),"—",MIN(100, IF(G19&gt;=18,50,IF(G19&gt;=14,38,IF(G19&gt;=9,20,5))) + IF(D19&gt;=14,28,IF(D19&gt;=9,18,8)) + IF(F19&lt;9,12,IF(F19&lt;=13,6,0)) + IF(E19&lt;9,10,IF(E19&lt;=13,5,0))))</f>
        <v>28</v>
      </c>
      <c r="L19" s="113" t="str">
        <f aca="false">IF(OR(H19="—",I19="—"),"Isi skor dulu",IF(MAX(H19,I19,J19,K19)=H19,"⚖️ Legal Officer",IF(MAX(H19,I19,J19,K19)=I19,"🎧 Customer Care/CRM",IF(MAX(H19,I19,J19,K19)=J19,"🎯 PLA Closing","📣 Marketing"))))</f>
        <v>🎧 Customer Care/CRM</v>
      </c>
    </row>
    <row r="20" customFormat="false" ht="24" hidden="false" customHeight="true" outlineLevel="0" collapsed="false">
      <c r="A20" s="94" t="n">
        <v>10</v>
      </c>
      <c r="B20" s="102" t="str">
        <f aca="false">'📥 Input Skor GForm'!B21</f>
        <v>yunia raventi</v>
      </c>
      <c r="C20" s="103" t="str">
        <f aca="false">'📥 Input Skor GForm'!C21</f>
        <v>Easy Legal</v>
      </c>
      <c r="D20" s="114" t="n">
        <f aca="false">'📥 Input Skor GForm'!D21</f>
        <v>3</v>
      </c>
      <c r="E20" s="114" t="n">
        <f aca="false">'📥 Input Skor GForm'!E21</f>
        <v>14</v>
      </c>
      <c r="F20" s="114" t="n">
        <f aca="false">'📥 Input Skor GForm'!F21</f>
        <v>15</v>
      </c>
      <c r="G20" s="114" t="n">
        <f aca="false">'📥 Input Skor GForm'!G21</f>
        <v>9</v>
      </c>
      <c r="H20" s="112" t="n">
        <f aca="false">IF(OR(D20="",F20=""),"—",MIN(100, IF(F20&gt;=18,50,IF(F20&gt;=14,38,IF(F20&gt;=9,20,5))) + IF(D20&gt;=14,28,IF(D20&gt;=9,18,8)) + IF(G20&lt;9,12,IF(G20&lt;=13,6,0)) + IF(E20&lt;9,10,IF(E20&lt;=13,5,0))))</f>
        <v>52</v>
      </c>
      <c r="I20" s="112" t="n">
        <f aca="false">IF(OR(E20="",G20=""),"—",MIN(100, IF(E20&gt;=18,48,IF(E20&gt;=14,36,IF(E20&gt;=9,20,5))) + IF(G20&gt;=14,28,IF(G20&gt;=9,18,8)) + IF(D20&lt;9,12,IF(D20&lt;=13,6,0)) + IF(F20&lt;=13,12,IF(F20&lt;=17,6,0))))</f>
        <v>72</v>
      </c>
      <c r="J20" s="112" t="n">
        <f aca="false">IF(OR(D20="",G20=""),"—",MIN(100, IF(D20&gt;=18,48,IF(D20&gt;=14,36,IF(D20&gt;=9,20,5))) + IF(G20&gt;=14,30,IF(G20&gt;=9,18,8)) + IF(E20&lt;9,12,IF(E20&lt;=13,6,0)) + IF(F20&lt;=13,10,IF(F20&lt;=17,5,0))))</f>
        <v>28</v>
      </c>
      <c r="K20" s="112" t="n">
        <f aca="false">IF(OR(G20="",D20=""),"—",MIN(100, IF(G20&gt;=18,50,IF(G20&gt;=14,38,IF(G20&gt;=9,20,5))) + IF(D20&gt;=14,28,IF(D20&gt;=9,18,8)) + IF(F20&lt;9,12,IF(F20&lt;=13,6,0)) + IF(E20&lt;9,10,IF(E20&lt;=13,5,0))))</f>
        <v>28</v>
      </c>
      <c r="L20" s="115" t="str">
        <f aca="false">IF(OR(H20="—",I20="—"),"Isi skor dulu",IF(MAX(H20,I20,J20,K20)=H20,"⚖️ Legal Officer",IF(MAX(H20,I20,J20,K20)=I20,"🎧 Customer Care/CRM",IF(MAX(H20,I20,J20,K20)=J20,"🎯 PLA Closing","📣 Marketing"))))</f>
        <v>🎧 Customer Care/CRM</v>
      </c>
    </row>
    <row r="21" customFormat="false" ht="24" hidden="false" customHeight="true" outlineLevel="0" collapsed="false">
      <c r="A21" s="94" t="n">
        <v>11</v>
      </c>
      <c r="B21" s="95" t="str">
        <f aca="false">'📥 Input Skor GForm'!B22</f>
        <v>AULIA AZMI IZZATUL HAQ</v>
      </c>
      <c r="C21" s="96" t="str">
        <f aca="false">'📥 Input Skor GForm'!C22</f>
        <v>Easy Legal</v>
      </c>
      <c r="D21" s="111" t="n">
        <f aca="false">'📥 Input Skor GForm'!D22</f>
        <v>4</v>
      </c>
      <c r="E21" s="111" t="n">
        <f aca="false">'📥 Input Skor GForm'!E22</f>
        <v>13</v>
      </c>
      <c r="F21" s="111" t="n">
        <f aca="false">'📥 Input Skor GForm'!F22</f>
        <v>21</v>
      </c>
      <c r="G21" s="111" t="n">
        <f aca="false">'📥 Input Skor GForm'!G22</f>
        <v>3</v>
      </c>
      <c r="H21" s="112" t="n">
        <f aca="false">IF(OR(D21="",F21=""),"—",MIN(100, IF(F21&gt;=18,50,IF(F21&gt;=14,38,IF(F21&gt;=9,20,5))) + IF(D21&gt;=14,28,IF(D21&gt;=9,18,8)) + IF(G21&lt;9,12,IF(G21&lt;=13,6,0)) + IF(E21&lt;9,10,IF(E21&lt;=13,5,0))))</f>
        <v>75</v>
      </c>
      <c r="I21" s="112" t="n">
        <f aca="false">IF(OR(E21="",G21=""),"—",MIN(100, IF(E21&gt;=18,48,IF(E21&gt;=14,36,IF(E21&gt;=9,20,5))) + IF(G21&gt;=14,28,IF(G21&gt;=9,18,8)) + IF(D21&lt;9,12,IF(D21&lt;=13,6,0)) + IF(F21&lt;=13,12,IF(F21&lt;=17,6,0))))</f>
        <v>40</v>
      </c>
      <c r="J21" s="112" t="n">
        <f aca="false">IF(OR(D21="",G21=""),"—",MIN(100, IF(D21&gt;=18,48,IF(D21&gt;=14,36,IF(D21&gt;=9,20,5))) + IF(G21&gt;=14,30,IF(G21&gt;=9,18,8)) + IF(E21&lt;9,12,IF(E21&lt;=13,6,0)) + IF(F21&lt;=13,10,IF(F21&lt;=17,5,0))))</f>
        <v>19</v>
      </c>
      <c r="K21" s="112" t="n">
        <f aca="false">IF(OR(G21="",D21=""),"—",MIN(100, IF(G21&gt;=18,50,IF(G21&gt;=14,38,IF(G21&gt;=9,20,5))) + IF(D21&gt;=14,28,IF(D21&gt;=9,18,8)) + IF(F21&lt;9,12,IF(F21&lt;=13,6,0)) + IF(E21&lt;9,10,IF(E21&lt;=13,5,0))))</f>
        <v>18</v>
      </c>
      <c r="L21" s="113" t="str">
        <f aca="false">IF(OR(H21="—",I21="—"),"Isi skor dulu",IF(MAX(H21,I21,J21,K21)=H21,"⚖️ Legal Officer",IF(MAX(H21,I21,J21,K21)=I21,"🎧 Customer Care/CRM",IF(MAX(H21,I21,J21,K21)=J21,"🎯 PLA Closing","📣 Marketing"))))</f>
        <v>⚖️ Legal Officer</v>
      </c>
    </row>
    <row r="22" customFormat="false" ht="24" hidden="false" customHeight="true" outlineLevel="0" collapsed="false">
      <c r="A22" s="94" t="n">
        <v>12</v>
      </c>
      <c r="B22" s="102" t="n">
        <f aca="false">'📥 Input Skor GForm'!B23</f>
        <v>0</v>
      </c>
      <c r="C22" s="103" t="n">
        <f aca="false">'📥 Input Skor GForm'!C23</f>
        <v>0</v>
      </c>
      <c r="D22" s="114" t="n">
        <f aca="false">'📥 Input Skor GForm'!D23</f>
        <v>0</v>
      </c>
      <c r="E22" s="114" t="n">
        <f aca="false">'📥 Input Skor GForm'!E23</f>
        <v>0</v>
      </c>
      <c r="F22" s="114" t="n">
        <f aca="false">'📥 Input Skor GForm'!F23</f>
        <v>0</v>
      </c>
      <c r="G22" s="114" t="n">
        <f aca="false">'📥 Input Skor GForm'!G23</f>
        <v>0</v>
      </c>
      <c r="H22" s="112" t="str">
        <f aca="false">IF(OR(D22="",F22=""),"—",MIN(100, IF(F22&gt;=18,50,IF(F22&gt;=14,38,IF(F22&gt;=9,20,5))) + IF(D22&gt;=14,28,IF(D22&gt;=9,18,8)) + IF(G22&lt;9,12,IF(G22&lt;=13,6,0)) + IF(E22&lt;9,10,IF(E22&lt;=13,5,0))))</f>
        <v>—</v>
      </c>
      <c r="I22" s="112" t="str">
        <f aca="false">IF(OR(E22="",G22=""),"—",MIN(100, IF(E22&gt;=18,48,IF(E22&gt;=14,36,IF(E22&gt;=9,20,5))) + IF(G22&gt;=14,28,IF(G22&gt;=9,18,8)) + IF(D22&lt;9,12,IF(D22&lt;=13,6,0)) + IF(F22&lt;=13,12,IF(F22&lt;=17,6,0))))</f>
        <v>—</v>
      </c>
      <c r="J22" s="112" t="str">
        <f aca="false">IF(OR(D22="",G22=""),"—",MIN(100, IF(D22&gt;=18,48,IF(D22&gt;=14,36,IF(D22&gt;=9,20,5))) + IF(G22&gt;=14,30,IF(G22&gt;=9,18,8)) + IF(E22&lt;9,12,IF(E22&lt;=13,6,0)) + IF(F22&lt;=13,10,IF(F22&lt;=17,5,0))))</f>
        <v>—</v>
      </c>
      <c r="K22" s="112" t="str">
        <f aca="false">IF(OR(G22="",D22=""),"—",MIN(100, IF(G22&gt;=18,50,IF(G22&gt;=14,38,IF(G22&gt;=9,20,5))) + IF(D22&gt;=14,28,IF(D22&gt;=9,18,8)) + IF(F22&lt;9,12,IF(F22&lt;=13,6,0)) + IF(E22&lt;9,10,IF(E22&lt;=13,5,0))))</f>
        <v>—</v>
      </c>
      <c r="L22" s="115" t="str">
        <f aca="false">IF(OR(H22="—",I22="—"),"Isi skor dulu",IF(MAX(H22,I22,J22,K22)=H22,"⚖️ Legal Officer",IF(MAX(H22,I22,J22,K22)=I22,"🎧 Customer Care/CRM",IF(MAX(H22,I22,J22,K22)=J22,"🎯 PLA Closing","📣 Marketing"))))</f>
        <v>Isi skor dulu</v>
      </c>
    </row>
    <row r="23" customFormat="false" ht="24" hidden="false" customHeight="true" outlineLevel="0" collapsed="false">
      <c r="A23" s="94" t="n">
        <v>13</v>
      </c>
      <c r="B23" s="95" t="n">
        <f aca="false">'📥 Input Skor GForm'!B24</f>
        <v>0</v>
      </c>
      <c r="C23" s="96" t="n">
        <f aca="false">'📥 Input Skor GForm'!C24</f>
        <v>0</v>
      </c>
      <c r="D23" s="111" t="n">
        <f aca="false">'📥 Input Skor GForm'!D24</f>
        <v>0</v>
      </c>
      <c r="E23" s="111" t="n">
        <f aca="false">'📥 Input Skor GForm'!E24</f>
        <v>0</v>
      </c>
      <c r="F23" s="111" t="n">
        <f aca="false">'📥 Input Skor GForm'!F24</f>
        <v>0</v>
      </c>
      <c r="G23" s="111" t="n">
        <f aca="false">'📥 Input Skor GForm'!G24</f>
        <v>0</v>
      </c>
      <c r="H23" s="112" t="str">
        <f aca="false">IF(OR(D23="",F23=""),"—",MIN(100, IF(F23&gt;=18,50,IF(F23&gt;=14,38,IF(F23&gt;=9,20,5))) + IF(D23&gt;=14,28,IF(D23&gt;=9,18,8)) + IF(G23&lt;9,12,IF(G23&lt;=13,6,0)) + IF(E23&lt;9,10,IF(E23&lt;=13,5,0))))</f>
        <v>—</v>
      </c>
      <c r="I23" s="112" t="str">
        <f aca="false">IF(OR(E23="",G23=""),"—",MIN(100, IF(E23&gt;=18,48,IF(E23&gt;=14,36,IF(E23&gt;=9,20,5))) + IF(G23&gt;=14,28,IF(G23&gt;=9,18,8)) + IF(D23&lt;9,12,IF(D23&lt;=13,6,0)) + IF(F23&lt;=13,12,IF(F23&lt;=17,6,0))))</f>
        <v>—</v>
      </c>
      <c r="J23" s="112" t="str">
        <f aca="false">IF(OR(D23="",G23=""),"—",MIN(100, IF(D23&gt;=18,48,IF(D23&gt;=14,36,IF(D23&gt;=9,20,5))) + IF(G23&gt;=14,30,IF(G23&gt;=9,18,8)) + IF(E23&lt;9,12,IF(E23&lt;=13,6,0)) + IF(F23&lt;=13,10,IF(F23&lt;=17,5,0))))</f>
        <v>—</v>
      </c>
      <c r="K23" s="112" t="str">
        <f aca="false">IF(OR(G23="",D23=""),"—",MIN(100, IF(G23&gt;=18,50,IF(G23&gt;=14,38,IF(G23&gt;=9,20,5))) + IF(D23&gt;=14,28,IF(D23&gt;=9,18,8)) + IF(F23&lt;9,12,IF(F23&lt;=13,6,0)) + IF(E23&lt;9,10,IF(E23&lt;=13,5,0))))</f>
        <v>—</v>
      </c>
      <c r="L23" s="113" t="str">
        <f aca="false">IF(OR(H23="—",I23="—"),"Isi skor dulu",IF(MAX(H23,I23,J23,K23)=H23,"⚖️ Legal Officer",IF(MAX(H23,I23,J23,K23)=I23,"🎧 Customer Care/CRM",IF(MAX(H23,I23,J23,K23)=J23,"🎯 PLA Closing","📣 Marketing"))))</f>
        <v>Isi skor dulu</v>
      </c>
    </row>
    <row r="24" customFormat="false" ht="24" hidden="false" customHeight="true" outlineLevel="0" collapsed="false">
      <c r="A24" s="94" t="n">
        <v>14</v>
      </c>
      <c r="B24" s="102" t="n">
        <f aca="false">'📥 Input Skor GForm'!B25</f>
        <v>0</v>
      </c>
      <c r="C24" s="103" t="n">
        <f aca="false">'📥 Input Skor GForm'!C25</f>
        <v>0</v>
      </c>
      <c r="D24" s="114" t="n">
        <f aca="false">'📥 Input Skor GForm'!D25</f>
        <v>0</v>
      </c>
      <c r="E24" s="114" t="n">
        <f aca="false">'📥 Input Skor GForm'!E25</f>
        <v>0</v>
      </c>
      <c r="F24" s="114" t="n">
        <f aca="false">'📥 Input Skor GForm'!F25</f>
        <v>0</v>
      </c>
      <c r="G24" s="114" t="n">
        <f aca="false">'📥 Input Skor GForm'!G25</f>
        <v>0</v>
      </c>
      <c r="H24" s="112" t="str">
        <f aca="false">IF(OR(D24="",F24=""),"—",MIN(100, IF(F24&gt;=18,50,IF(F24&gt;=14,38,IF(F24&gt;=9,20,5))) + IF(D24&gt;=14,28,IF(D24&gt;=9,18,8)) + IF(G24&lt;9,12,IF(G24&lt;=13,6,0)) + IF(E24&lt;9,10,IF(E24&lt;=13,5,0))))</f>
        <v>—</v>
      </c>
      <c r="I24" s="112" t="str">
        <f aca="false">IF(OR(E24="",G24=""),"—",MIN(100, IF(E24&gt;=18,48,IF(E24&gt;=14,36,IF(E24&gt;=9,20,5))) + IF(G24&gt;=14,28,IF(G24&gt;=9,18,8)) + IF(D24&lt;9,12,IF(D24&lt;=13,6,0)) + IF(F24&lt;=13,12,IF(F24&lt;=17,6,0))))</f>
        <v>—</v>
      </c>
      <c r="J24" s="112" t="str">
        <f aca="false">IF(OR(D24="",G24=""),"—",MIN(100, IF(D24&gt;=18,48,IF(D24&gt;=14,36,IF(D24&gt;=9,20,5))) + IF(G24&gt;=14,30,IF(G24&gt;=9,18,8)) + IF(E24&lt;9,12,IF(E24&lt;=13,6,0)) + IF(F24&lt;=13,10,IF(F24&lt;=17,5,0))))</f>
        <v>—</v>
      </c>
      <c r="K24" s="112" t="str">
        <f aca="false">IF(OR(G24="",D24=""),"—",MIN(100, IF(G24&gt;=18,50,IF(G24&gt;=14,38,IF(G24&gt;=9,20,5))) + IF(D24&gt;=14,28,IF(D24&gt;=9,18,8)) + IF(F24&lt;9,12,IF(F24&lt;=13,6,0)) + IF(E24&lt;9,10,IF(E24&lt;=13,5,0))))</f>
        <v>—</v>
      </c>
      <c r="L24" s="115" t="str">
        <f aca="false">IF(OR(H24="—",I24="—"),"Isi skor dulu",IF(MAX(H24,I24,J24,K24)=H24,"⚖️ Legal Officer",IF(MAX(H24,I24,J24,K24)=I24,"🎧 Customer Care/CRM",IF(MAX(H24,I24,J24,K24)=J24,"🎯 PLA Closing","📣 Marketing"))))</f>
        <v>Isi skor dulu</v>
      </c>
    </row>
    <row r="25" customFormat="false" ht="24" hidden="false" customHeight="true" outlineLevel="0" collapsed="false">
      <c r="A25" s="94" t="n">
        <v>15</v>
      </c>
      <c r="B25" s="95" t="n">
        <f aca="false">'📥 Input Skor GForm'!B26</f>
        <v>0</v>
      </c>
      <c r="C25" s="96" t="n">
        <f aca="false">'📥 Input Skor GForm'!C26</f>
        <v>0</v>
      </c>
      <c r="D25" s="111" t="n">
        <f aca="false">'📥 Input Skor GForm'!D26</f>
        <v>0</v>
      </c>
      <c r="E25" s="111" t="n">
        <f aca="false">'📥 Input Skor GForm'!E26</f>
        <v>0</v>
      </c>
      <c r="F25" s="111" t="n">
        <f aca="false">'📥 Input Skor GForm'!F26</f>
        <v>0</v>
      </c>
      <c r="G25" s="111" t="n">
        <f aca="false">'📥 Input Skor GForm'!G26</f>
        <v>0</v>
      </c>
      <c r="H25" s="112" t="str">
        <f aca="false">IF(OR(D25="",F25=""),"—",MIN(100, IF(F25&gt;=18,50,IF(F25&gt;=14,38,IF(F25&gt;=9,20,5))) + IF(D25&gt;=14,28,IF(D25&gt;=9,18,8)) + IF(G25&lt;9,12,IF(G25&lt;=13,6,0)) + IF(E25&lt;9,10,IF(E25&lt;=13,5,0))))</f>
        <v>—</v>
      </c>
      <c r="I25" s="112" t="str">
        <f aca="false">IF(OR(E25="",G25=""),"—",MIN(100, IF(E25&gt;=18,48,IF(E25&gt;=14,36,IF(E25&gt;=9,20,5))) + IF(G25&gt;=14,28,IF(G25&gt;=9,18,8)) + IF(D25&lt;9,12,IF(D25&lt;=13,6,0)) + IF(F25&lt;=13,12,IF(F25&lt;=17,6,0))))</f>
        <v>—</v>
      </c>
      <c r="J25" s="112" t="str">
        <f aca="false">IF(OR(D25="",G25=""),"—",MIN(100, IF(D25&gt;=18,48,IF(D25&gt;=14,36,IF(D25&gt;=9,20,5))) + IF(G25&gt;=14,30,IF(G25&gt;=9,18,8)) + IF(E25&lt;9,12,IF(E25&lt;=13,6,0)) + IF(F25&lt;=13,10,IF(F25&lt;=17,5,0))))</f>
        <v>—</v>
      </c>
      <c r="K25" s="112" t="str">
        <f aca="false">IF(OR(G25="",D25=""),"—",MIN(100, IF(G25&gt;=18,50,IF(G25&gt;=14,38,IF(G25&gt;=9,20,5))) + IF(D25&gt;=14,28,IF(D25&gt;=9,18,8)) + IF(F25&lt;9,12,IF(F25&lt;=13,6,0)) + IF(E25&lt;9,10,IF(E25&lt;=13,5,0))))</f>
        <v>—</v>
      </c>
      <c r="L25" s="113" t="str">
        <f aca="false">IF(OR(H25="—",I25="—"),"Isi skor dulu",IF(MAX(H25,I25,J25,K25)=H25,"⚖️ Legal Officer",IF(MAX(H25,I25,J25,K25)=I25,"🎧 Customer Care/CRM",IF(MAX(H25,I25,J25,K25)=J25,"🎯 PLA Closing","📣 Marketing"))))</f>
        <v>Isi skor dulu</v>
      </c>
    </row>
    <row r="26" customFormat="false" ht="24" hidden="false" customHeight="true" outlineLevel="0" collapsed="false">
      <c r="A26" s="94" t="n">
        <v>16</v>
      </c>
      <c r="B26" s="102" t="n">
        <f aca="false">'📥 Input Skor GForm'!B27</f>
        <v>0</v>
      </c>
      <c r="C26" s="103" t="n">
        <f aca="false">'📥 Input Skor GForm'!C27</f>
        <v>0</v>
      </c>
      <c r="D26" s="114" t="n">
        <f aca="false">'📥 Input Skor GForm'!D27</f>
        <v>0</v>
      </c>
      <c r="E26" s="114" t="n">
        <f aca="false">'📥 Input Skor GForm'!E27</f>
        <v>0</v>
      </c>
      <c r="F26" s="114" t="n">
        <f aca="false">'📥 Input Skor GForm'!F27</f>
        <v>0</v>
      </c>
      <c r="G26" s="114" t="n">
        <f aca="false">'📥 Input Skor GForm'!G27</f>
        <v>0</v>
      </c>
      <c r="H26" s="112" t="str">
        <f aca="false">IF(OR(D26="",F26=""),"—",MIN(100, IF(F26&gt;=18,50,IF(F26&gt;=14,38,IF(F26&gt;=9,20,5))) + IF(D26&gt;=14,28,IF(D26&gt;=9,18,8)) + IF(G26&lt;9,12,IF(G26&lt;=13,6,0)) + IF(E26&lt;9,10,IF(E26&lt;=13,5,0))))</f>
        <v>—</v>
      </c>
      <c r="I26" s="112" t="str">
        <f aca="false">IF(OR(E26="",G26=""),"—",MIN(100, IF(E26&gt;=18,48,IF(E26&gt;=14,36,IF(E26&gt;=9,20,5))) + IF(G26&gt;=14,28,IF(G26&gt;=9,18,8)) + IF(D26&lt;9,12,IF(D26&lt;=13,6,0)) + IF(F26&lt;=13,12,IF(F26&lt;=17,6,0))))</f>
        <v>—</v>
      </c>
      <c r="J26" s="112" t="str">
        <f aca="false">IF(OR(D26="",G26=""),"—",MIN(100, IF(D26&gt;=18,48,IF(D26&gt;=14,36,IF(D26&gt;=9,20,5))) + IF(G26&gt;=14,30,IF(G26&gt;=9,18,8)) + IF(E26&lt;9,12,IF(E26&lt;=13,6,0)) + IF(F26&lt;=13,10,IF(F26&lt;=17,5,0))))</f>
        <v>—</v>
      </c>
      <c r="K26" s="112" t="str">
        <f aca="false">IF(OR(G26="",D26=""),"—",MIN(100, IF(G26&gt;=18,50,IF(G26&gt;=14,38,IF(G26&gt;=9,20,5))) + IF(D26&gt;=14,28,IF(D26&gt;=9,18,8)) + IF(F26&lt;9,12,IF(F26&lt;=13,6,0)) + IF(E26&lt;9,10,IF(E26&lt;=13,5,0))))</f>
        <v>—</v>
      </c>
      <c r="L26" s="115" t="str">
        <f aca="false">IF(OR(H26="—",I26="—"),"Isi skor dulu",IF(MAX(H26,I26,J26,K26)=H26,"⚖️ Legal Officer",IF(MAX(H26,I26,J26,K26)=I26,"🎧 Customer Care/CRM",IF(MAX(H26,I26,J26,K26)=J26,"🎯 PLA Closing","📣 Marketing"))))</f>
        <v>Isi skor dulu</v>
      </c>
    </row>
    <row r="27" customFormat="false" ht="24" hidden="false" customHeight="true" outlineLevel="0" collapsed="false">
      <c r="A27" s="94" t="n">
        <v>17</v>
      </c>
      <c r="B27" s="95" t="n">
        <f aca="false">'📥 Input Skor GForm'!B28</f>
        <v>0</v>
      </c>
      <c r="C27" s="96" t="n">
        <f aca="false">'📥 Input Skor GForm'!C28</f>
        <v>0</v>
      </c>
      <c r="D27" s="111" t="n">
        <f aca="false">'📥 Input Skor GForm'!D28</f>
        <v>0</v>
      </c>
      <c r="E27" s="111" t="n">
        <f aca="false">'📥 Input Skor GForm'!E28</f>
        <v>0</v>
      </c>
      <c r="F27" s="111" t="n">
        <f aca="false">'📥 Input Skor GForm'!F28</f>
        <v>0</v>
      </c>
      <c r="G27" s="111" t="n">
        <f aca="false">'📥 Input Skor GForm'!G28</f>
        <v>0</v>
      </c>
      <c r="H27" s="112" t="str">
        <f aca="false">IF(OR(D27="",F27=""),"—",MIN(100, IF(F27&gt;=18,50,IF(F27&gt;=14,38,IF(F27&gt;=9,20,5))) + IF(D27&gt;=14,28,IF(D27&gt;=9,18,8)) + IF(G27&lt;9,12,IF(G27&lt;=13,6,0)) + IF(E27&lt;9,10,IF(E27&lt;=13,5,0))))</f>
        <v>—</v>
      </c>
      <c r="I27" s="112" t="str">
        <f aca="false">IF(OR(E27="",G27=""),"—",MIN(100, IF(E27&gt;=18,48,IF(E27&gt;=14,36,IF(E27&gt;=9,20,5))) + IF(G27&gt;=14,28,IF(G27&gt;=9,18,8)) + IF(D27&lt;9,12,IF(D27&lt;=13,6,0)) + IF(F27&lt;=13,12,IF(F27&lt;=17,6,0))))</f>
        <v>—</v>
      </c>
      <c r="J27" s="112" t="str">
        <f aca="false">IF(OR(D27="",G27=""),"—",MIN(100, IF(D27&gt;=18,48,IF(D27&gt;=14,36,IF(D27&gt;=9,20,5))) + IF(G27&gt;=14,30,IF(G27&gt;=9,18,8)) + IF(E27&lt;9,12,IF(E27&lt;=13,6,0)) + IF(F27&lt;=13,10,IF(F27&lt;=17,5,0))))</f>
        <v>—</v>
      </c>
      <c r="K27" s="112" t="str">
        <f aca="false">IF(OR(G27="",D27=""),"—",MIN(100, IF(G27&gt;=18,50,IF(G27&gt;=14,38,IF(G27&gt;=9,20,5))) + IF(D27&gt;=14,28,IF(D27&gt;=9,18,8)) + IF(F27&lt;9,12,IF(F27&lt;=13,6,0)) + IF(E27&lt;9,10,IF(E27&lt;=13,5,0))))</f>
        <v>—</v>
      </c>
      <c r="L27" s="113" t="str">
        <f aca="false">IF(OR(H27="—",I27="—"),"Isi skor dulu",IF(MAX(H27,I27,J27,K27)=H27,"⚖️ Legal Officer",IF(MAX(H27,I27,J27,K27)=I27,"🎧 Customer Care/CRM",IF(MAX(H27,I27,J27,K27)=J27,"🎯 PLA Closing","📣 Marketing"))))</f>
        <v>Isi skor dulu</v>
      </c>
    </row>
    <row r="28" customFormat="false" ht="24" hidden="false" customHeight="true" outlineLevel="0" collapsed="false">
      <c r="A28" s="94" t="n">
        <v>18</v>
      </c>
      <c r="B28" s="102" t="n">
        <f aca="false">'📥 Input Skor GForm'!B29</f>
        <v>0</v>
      </c>
      <c r="C28" s="103" t="n">
        <f aca="false">'📥 Input Skor GForm'!C29</f>
        <v>0</v>
      </c>
      <c r="D28" s="114" t="n">
        <f aca="false">'📥 Input Skor GForm'!D29</f>
        <v>0</v>
      </c>
      <c r="E28" s="114" t="n">
        <f aca="false">'📥 Input Skor GForm'!E29</f>
        <v>0</v>
      </c>
      <c r="F28" s="114" t="n">
        <f aca="false">'📥 Input Skor GForm'!F29</f>
        <v>0</v>
      </c>
      <c r="G28" s="114" t="n">
        <f aca="false">'📥 Input Skor GForm'!G29</f>
        <v>0</v>
      </c>
      <c r="H28" s="112" t="str">
        <f aca="false">IF(OR(D28="",F28=""),"—",MIN(100, IF(F28&gt;=18,50,IF(F28&gt;=14,38,IF(F28&gt;=9,20,5))) + IF(D28&gt;=14,28,IF(D28&gt;=9,18,8)) + IF(G28&lt;9,12,IF(G28&lt;=13,6,0)) + IF(E28&lt;9,10,IF(E28&lt;=13,5,0))))</f>
        <v>—</v>
      </c>
      <c r="I28" s="112" t="str">
        <f aca="false">IF(OR(E28="",G28=""),"—",MIN(100, IF(E28&gt;=18,48,IF(E28&gt;=14,36,IF(E28&gt;=9,20,5))) + IF(G28&gt;=14,28,IF(G28&gt;=9,18,8)) + IF(D28&lt;9,12,IF(D28&lt;=13,6,0)) + IF(F28&lt;=13,12,IF(F28&lt;=17,6,0))))</f>
        <v>—</v>
      </c>
      <c r="J28" s="112" t="str">
        <f aca="false">IF(OR(D28="",G28=""),"—",MIN(100, IF(D28&gt;=18,48,IF(D28&gt;=14,36,IF(D28&gt;=9,20,5))) + IF(G28&gt;=14,30,IF(G28&gt;=9,18,8)) + IF(E28&lt;9,12,IF(E28&lt;=13,6,0)) + IF(F28&lt;=13,10,IF(F28&lt;=17,5,0))))</f>
        <v>—</v>
      </c>
      <c r="K28" s="112" t="str">
        <f aca="false">IF(OR(G28="",D28=""),"—",MIN(100, IF(G28&gt;=18,50,IF(G28&gt;=14,38,IF(G28&gt;=9,20,5))) + IF(D28&gt;=14,28,IF(D28&gt;=9,18,8)) + IF(F28&lt;9,12,IF(F28&lt;=13,6,0)) + IF(E28&lt;9,10,IF(E28&lt;=13,5,0))))</f>
        <v>—</v>
      </c>
      <c r="L28" s="115" t="str">
        <f aca="false">IF(OR(H28="—",I28="—"),"Isi skor dulu",IF(MAX(H28,I28,J28,K28)=H28,"⚖️ Legal Officer",IF(MAX(H28,I28,J28,K28)=I28,"🎧 Customer Care/CRM",IF(MAX(H28,I28,J28,K28)=J28,"🎯 PLA Closing","📣 Marketing"))))</f>
        <v>Isi skor dulu</v>
      </c>
    </row>
    <row r="29" customFormat="false" ht="24" hidden="false" customHeight="true" outlineLevel="0" collapsed="false">
      <c r="A29" s="94" t="n">
        <v>19</v>
      </c>
      <c r="B29" s="95" t="n">
        <f aca="false">'📥 Input Skor GForm'!B30</f>
        <v>0</v>
      </c>
      <c r="C29" s="96" t="n">
        <f aca="false">'📥 Input Skor GForm'!C30</f>
        <v>0</v>
      </c>
      <c r="D29" s="111" t="n">
        <f aca="false">'📥 Input Skor GForm'!D30</f>
        <v>0</v>
      </c>
      <c r="E29" s="111" t="n">
        <f aca="false">'📥 Input Skor GForm'!E30</f>
        <v>0</v>
      </c>
      <c r="F29" s="111" t="n">
        <f aca="false">'📥 Input Skor GForm'!F30</f>
        <v>0</v>
      </c>
      <c r="G29" s="111" t="n">
        <f aca="false">'📥 Input Skor GForm'!G30</f>
        <v>0</v>
      </c>
      <c r="H29" s="112" t="str">
        <f aca="false">IF(OR(D29="",F29=""),"—",MIN(100, IF(F29&gt;=18,50,IF(F29&gt;=14,38,IF(F29&gt;=9,20,5))) + IF(D29&gt;=14,28,IF(D29&gt;=9,18,8)) + IF(G29&lt;9,12,IF(G29&lt;=13,6,0)) + IF(E29&lt;9,10,IF(E29&lt;=13,5,0))))</f>
        <v>—</v>
      </c>
      <c r="I29" s="112" t="str">
        <f aca="false">IF(OR(E29="",G29=""),"—",MIN(100, IF(E29&gt;=18,48,IF(E29&gt;=14,36,IF(E29&gt;=9,20,5))) + IF(G29&gt;=14,28,IF(G29&gt;=9,18,8)) + IF(D29&lt;9,12,IF(D29&lt;=13,6,0)) + IF(F29&lt;=13,12,IF(F29&lt;=17,6,0))))</f>
        <v>—</v>
      </c>
      <c r="J29" s="112" t="str">
        <f aca="false">IF(OR(D29="",G29=""),"—",MIN(100, IF(D29&gt;=18,48,IF(D29&gt;=14,36,IF(D29&gt;=9,20,5))) + IF(G29&gt;=14,30,IF(G29&gt;=9,18,8)) + IF(E29&lt;9,12,IF(E29&lt;=13,6,0)) + IF(F29&lt;=13,10,IF(F29&lt;=17,5,0))))</f>
        <v>—</v>
      </c>
      <c r="K29" s="112" t="str">
        <f aca="false">IF(OR(G29="",D29=""),"—",MIN(100, IF(G29&gt;=18,50,IF(G29&gt;=14,38,IF(G29&gt;=9,20,5))) + IF(D29&gt;=14,28,IF(D29&gt;=9,18,8)) + IF(F29&lt;9,12,IF(F29&lt;=13,6,0)) + IF(E29&lt;9,10,IF(E29&lt;=13,5,0))))</f>
        <v>—</v>
      </c>
      <c r="L29" s="113" t="str">
        <f aca="false">IF(OR(H29="—",I29="—"),"Isi skor dulu",IF(MAX(H29,I29,J29,K29)=H29,"⚖️ Legal Officer",IF(MAX(H29,I29,J29,K29)=I29,"🎧 Customer Care/CRM",IF(MAX(H29,I29,J29,K29)=J29,"🎯 PLA Closing","📣 Marketing"))))</f>
        <v>Isi skor dulu</v>
      </c>
    </row>
    <row r="30" customFormat="false" ht="24" hidden="false" customHeight="true" outlineLevel="0" collapsed="false">
      <c r="A30" s="94" t="n">
        <v>20</v>
      </c>
      <c r="B30" s="102" t="n">
        <f aca="false">'📥 Input Skor GForm'!B31</f>
        <v>0</v>
      </c>
      <c r="C30" s="103" t="n">
        <f aca="false">'📥 Input Skor GForm'!C31</f>
        <v>0</v>
      </c>
      <c r="D30" s="114" t="n">
        <f aca="false">'📥 Input Skor GForm'!D31</f>
        <v>0</v>
      </c>
      <c r="E30" s="114" t="n">
        <f aca="false">'📥 Input Skor GForm'!E31</f>
        <v>0</v>
      </c>
      <c r="F30" s="114" t="n">
        <f aca="false">'📥 Input Skor GForm'!F31</f>
        <v>0</v>
      </c>
      <c r="G30" s="114" t="n">
        <f aca="false">'📥 Input Skor GForm'!G31</f>
        <v>0</v>
      </c>
      <c r="H30" s="112" t="str">
        <f aca="false">IF(OR(D30="",F30=""),"—",MIN(100, IF(F30&gt;=18,50,IF(F30&gt;=14,38,IF(F30&gt;=9,20,5))) + IF(D30&gt;=14,28,IF(D30&gt;=9,18,8)) + IF(G30&lt;9,12,IF(G30&lt;=13,6,0)) + IF(E30&lt;9,10,IF(E30&lt;=13,5,0))))</f>
        <v>—</v>
      </c>
      <c r="I30" s="112" t="str">
        <f aca="false">IF(OR(E30="",G30=""),"—",MIN(100, IF(E30&gt;=18,48,IF(E30&gt;=14,36,IF(E30&gt;=9,20,5))) + IF(G30&gt;=14,28,IF(G30&gt;=9,18,8)) + IF(D30&lt;9,12,IF(D30&lt;=13,6,0)) + IF(F30&lt;=13,12,IF(F30&lt;=17,6,0))))</f>
        <v>—</v>
      </c>
      <c r="J30" s="112" t="str">
        <f aca="false">IF(OR(D30="",G30=""),"—",MIN(100, IF(D30&gt;=18,48,IF(D30&gt;=14,36,IF(D30&gt;=9,20,5))) + IF(G30&gt;=14,30,IF(G30&gt;=9,18,8)) + IF(E30&lt;9,12,IF(E30&lt;=13,6,0)) + IF(F30&lt;=13,10,IF(F30&lt;=17,5,0))))</f>
        <v>—</v>
      </c>
      <c r="K30" s="112" t="str">
        <f aca="false">IF(OR(G30="",D30=""),"—",MIN(100, IF(G30&gt;=18,50,IF(G30&gt;=14,38,IF(G30&gt;=9,20,5))) + IF(D30&gt;=14,28,IF(D30&gt;=9,18,8)) + IF(F30&lt;9,12,IF(F30&lt;=13,6,0)) + IF(E30&lt;9,10,IF(E30&lt;=13,5,0))))</f>
        <v>—</v>
      </c>
      <c r="L30" s="115" t="str">
        <f aca="false">IF(OR(H30="—",I30="—"),"Isi skor dulu",IF(MAX(H30,I30,J30,K30)=H30,"⚖️ Legal Officer",IF(MAX(H30,I30,J30,K30)=I30,"🎧 Customer Care/CRM",IF(MAX(H30,I30,J30,K30)=J30,"🎯 PLA Closing","📣 Marketing"))))</f>
        <v>Isi skor dulu</v>
      </c>
    </row>
    <row r="31" customFormat="false" ht="24" hidden="false" customHeight="true" outlineLevel="0" collapsed="false">
      <c r="A31" s="94" t="n">
        <v>21</v>
      </c>
      <c r="B31" s="95" t="n">
        <f aca="false">'📥 Input Skor GForm'!B32</f>
        <v>0</v>
      </c>
      <c r="C31" s="96" t="n">
        <f aca="false">'📥 Input Skor GForm'!C32</f>
        <v>0</v>
      </c>
      <c r="D31" s="111" t="n">
        <f aca="false">'📥 Input Skor GForm'!D32</f>
        <v>0</v>
      </c>
      <c r="E31" s="111" t="n">
        <f aca="false">'📥 Input Skor GForm'!E32</f>
        <v>0</v>
      </c>
      <c r="F31" s="111" t="n">
        <f aca="false">'📥 Input Skor GForm'!F32</f>
        <v>0</v>
      </c>
      <c r="G31" s="111" t="n">
        <f aca="false">'📥 Input Skor GForm'!G32</f>
        <v>0</v>
      </c>
      <c r="H31" s="112" t="str">
        <f aca="false">IF(OR(D31="",F31=""),"—",MIN(100, IF(F31&gt;=18,50,IF(F31&gt;=14,38,IF(F31&gt;=9,20,5))) + IF(D31&gt;=14,28,IF(D31&gt;=9,18,8)) + IF(G31&lt;9,12,IF(G31&lt;=13,6,0)) + IF(E31&lt;9,10,IF(E31&lt;=13,5,0))))</f>
        <v>—</v>
      </c>
      <c r="I31" s="112" t="str">
        <f aca="false">IF(OR(E31="",G31=""),"—",MIN(100, IF(E31&gt;=18,48,IF(E31&gt;=14,36,IF(E31&gt;=9,20,5))) + IF(G31&gt;=14,28,IF(G31&gt;=9,18,8)) + IF(D31&lt;9,12,IF(D31&lt;=13,6,0)) + IF(F31&lt;=13,12,IF(F31&lt;=17,6,0))))</f>
        <v>—</v>
      </c>
      <c r="J31" s="112" t="str">
        <f aca="false">IF(OR(D31="",G31=""),"—",MIN(100, IF(D31&gt;=18,48,IF(D31&gt;=14,36,IF(D31&gt;=9,20,5))) + IF(G31&gt;=14,30,IF(G31&gt;=9,18,8)) + IF(E31&lt;9,12,IF(E31&lt;=13,6,0)) + IF(F31&lt;=13,10,IF(F31&lt;=17,5,0))))</f>
        <v>—</v>
      </c>
      <c r="K31" s="112" t="str">
        <f aca="false">IF(OR(G31="",D31=""),"—",MIN(100, IF(G31&gt;=18,50,IF(G31&gt;=14,38,IF(G31&gt;=9,20,5))) + IF(D31&gt;=14,28,IF(D31&gt;=9,18,8)) + IF(F31&lt;9,12,IF(F31&lt;=13,6,0)) + IF(E31&lt;9,10,IF(E31&lt;=13,5,0))))</f>
        <v>—</v>
      </c>
      <c r="L31" s="113" t="str">
        <f aca="false">IF(OR(H31="—",I31="—"),"Isi skor dulu",IF(MAX(H31,I31,J31,K31)=H31,"⚖️ Legal Officer",IF(MAX(H31,I31,J31,K31)=I31,"🎧 Customer Care/CRM",IF(MAX(H31,I31,J31,K31)=J31,"🎯 PLA Closing","📣 Marketing"))))</f>
        <v>Isi skor dulu</v>
      </c>
    </row>
    <row r="32" customFormat="false" ht="24" hidden="false" customHeight="true" outlineLevel="0" collapsed="false">
      <c r="A32" s="94" t="n">
        <v>22</v>
      </c>
      <c r="B32" s="102" t="n">
        <f aca="false">'📥 Input Skor GForm'!B33</f>
        <v>0</v>
      </c>
      <c r="C32" s="103" t="n">
        <f aca="false">'📥 Input Skor GForm'!C33</f>
        <v>0</v>
      </c>
      <c r="D32" s="114" t="n">
        <f aca="false">'📥 Input Skor GForm'!D33</f>
        <v>0</v>
      </c>
      <c r="E32" s="114" t="n">
        <f aca="false">'📥 Input Skor GForm'!E33</f>
        <v>0</v>
      </c>
      <c r="F32" s="114" t="n">
        <f aca="false">'📥 Input Skor GForm'!F33</f>
        <v>0</v>
      </c>
      <c r="G32" s="114" t="n">
        <f aca="false">'📥 Input Skor GForm'!G33</f>
        <v>0</v>
      </c>
      <c r="H32" s="112" t="str">
        <f aca="false">IF(OR(D32="",F32=""),"—",MIN(100, IF(F32&gt;=18,50,IF(F32&gt;=14,38,IF(F32&gt;=9,20,5))) + IF(D32&gt;=14,28,IF(D32&gt;=9,18,8)) + IF(G32&lt;9,12,IF(G32&lt;=13,6,0)) + IF(E32&lt;9,10,IF(E32&lt;=13,5,0))))</f>
        <v>—</v>
      </c>
      <c r="I32" s="112" t="str">
        <f aca="false">IF(OR(E32="",G32=""),"—",MIN(100, IF(E32&gt;=18,48,IF(E32&gt;=14,36,IF(E32&gt;=9,20,5))) + IF(G32&gt;=14,28,IF(G32&gt;=9,18,8)) + IF(D32&lt;9,12,IF(D32&lt;=13,6,0)) + IF(F32&lt;=13,12,IF(F32&lt;=17,6,0))))</f>
        <v>—</v>
      </c>
      <c r="J32" s="112" t="str">
        <f aca="false">IF(OR(D32="",G32=""),"—",MIN(100, IF(D32&gt;=18,48,IF(D32&gt;=14,36,IF(D32&gt;=9,20,5))) + IF(G32&gt;=14,30,IF(G32&gt;=9,18,8)) + IF(E32&lt;9,12,IF(E32&lt;=13,6,0)) + IF(F32&lt;=13,10,IF(F32&lt;=17,5,0))))</f>
        <v>—</v>
      </c>
      <c r="K32" s="112" t="str">
        <f aca="false">IF(OR(G32="",D32=""),"—",MIN(100, IF(G32&gt;=18,50,IF(G32&gt;=14,38,IF(G32&gt;=9,20,5))) + IF(D32&gt;=14,28,IF(D32&gt;=9,18,8)) + IF(F32&lt;9,12,IF(F32&lt;=13,6,0)) + IF(E32&lt;9,10,IF(E32&lt;=13,5,0))))</f>
        <v>—</v>
      </c>
      <c r="L32" s="115" t="str">
        <f aca="false">IF(OR(H32="—",I32="—"),"Isi skor dulu",IF(MAX(H32,I32,J32,K32)=H32,"⚖️ Legal Officer",IF(MAX(H32,I32,J32,K32)=I32,"🎧 Customer Care/CRM",IF(MAX(H32,I32,J32,K32)=J32,"🎯 PLA Closing","📣 Marketing"))))</f>
        <v>Isi skor dulu</v>
      </c>
    </row>
    <row r="33" customFormat="false" ht="24" hidden="false" customHeight="true" outlineLevel="0" collapsed="false">
      <c r="A33" s="94" t="n">
        <v>23</v>
      </c>
      <c r="B33" s="95" t="n">
        <f aca="false">'📥 Input Skor GForm'!B34</f>
        <v>0</v>
      </c>
      <c r="C33" s="96" t="n">
        <f aca="false">'📥 Input Skor GForm'!C34</f>
        <v>0</v>
      </c>
      <c r="D33" s="111" t="n">
        <f aca="false">'📥 Input Skor GForm'!D34</f>
        <v>0</v>
      </c>
      <c r="E33" s="111" t="n">
        <f aca="false">'📥 Input Skor GForm'!E34</f>
        <v>0</v>
      </c>
      <c r="F33" s="111" t="n">
        <f aca="false">'📥 Input Skor GForm'!F34</f>
        <v>0</v>
      </c>
      <c r="G33" s="111" t="n">
        <f aca="false">'📥 Input Skor GForm'!G34</f>
        <v>0</v>
      </c>
      <c r="H33" s="112" t="str">
        <f aca="false">IF(OR(D33="",F33=""),"—",MIN(100, IF(F33&gt;=18,50,IF(F33&gt;=14,38,IF(F33&gt;=9,20,5))) + IF(D33&gt;=14,28,IF(D33&gt;=9,18,8)) + IF(G33&lt;9,12,IF(G33&lt;=13,6,0)) + IF(E33&lt;9,10,IF(E33&lt;=13,5,0))))</f>
        <v>—</v>
      </c>
      <c r="I33" s="112" t="str">
        <f aca="false">IF(OR(E33="",G33=""),"—",MIN(100, IF(E33&gt;=18,48,IF(E33&gt;=14,36,IF(E33&gt;=9,20,5))) + IF(G33&gt;=14,28,IF(G33&gt;=9,18,8)) + IF(D33&lt;9,12,IF(D33&lt;=13,6,0)) + IF(F33&lt;=13,12,IF(F33&lt;=17,6,0))))</f>
        <v>—</v>
      </c>
      <c r="J33" s="112" t="str">
        <f aca="false">IF(OR(D33="",G33=""),"—",MIN(100, IF(D33&gt;=18,48,IF(D33&gt;=14,36,IF(D33&gt;=9,20,5))) + IF(G33&gt;=14,30,IF(G33&gt;=9,18,8)) + IF(E33&lt;9,12,IF(E33&lt;=13,6,0)) + IF(F33&lt;=13,10,IF(F33&lt;=17,5,0))))</f>
        <v>—</v>
      </c>
      <c r="K33" s="112" t="str">
        <f aca="false">IF(OR(G33="",D33=""),"—",MIN(100, IF(G33&gt;=18,50,IF(G33&gt;=14,38,IF(G33&gt;=9,20,5))) + IF(D33&gt;=14,28,IF(D33&gt;=9,18,8)) + IF(F33&lt;9,12,IF(F33&lt;=13,6,0)) + IF(E33&lt;9,10,IF(E33&lt;=13,5,0))))</f>
        <v>—</v>
      </c>
      <c r="L33" s="113" t="str">
        <f aca="false">IF(OR(H33="—",I33="—"),"Isi skor dulu",IF(MAX(H33,I33,J33,K33)=H33,"⚖️ Legal Officer",IF(MAX(H33,I33,J33,K33)=I33,"🎧 Customer Care/CRM",IF(MAX(H33,I33,J33,K33)=J33,"🎯 PLA Closing","📣 Marketing"))))</f>
        <v>Isi skor dulu</v>
      </c>
    </row>
    <row r="34" customFormat="false" ht="24" hidden="false" customHeight="true" outlineLevel="0" collapsed="false">
      <c r="A34" s="94" t="n">
        <v>24</v>
      </c>
      <c r="B34" s="102" t="n">
        <f aca="false">'📥 Input Skor GForm'!B35</f>
        <v>0</v>
      </c>
      <c r="C34" s="103" t="n">
        <f aca="false">'📥 Input Skor GForm'!C35</f>
        <v>0</v>
      </c>
      <c r="D34" s="114" t="n">
        <f aca="false">'📥 Input Skor GForm'!D35</f>
        <v>0</v>
      </c>
      <c r="E34" s="114" t="n">
        <f aca="false">'📥 Input Skor GForm'!E35</f>
        <v>0</v>
      </c>
      <c r="F34" s="114" t="n">
        <f aca="false">'📥 Input Skor GForm'!F35</f>
        <v>0</v>
      </c>
      <c r="G34" s="114" t="n">
        <f aca="false">'📥 Input Skor GForm'!G35</f>
        <v>0</v>
      </c>
      <c r="H34" s="112" t="str">
        <f aca="false">IF(OR(D34="",F34=""),"—",MIN(100, IF(F34&gt;=18,50,IF(F34&gt;=14,38,IF(F34&gt;=9,20,5))) + IF(D34&gt;=14,28,IF(D34&gt;=9,18,8)) + IF(G34&lt;9,12,IF(G34&lt;=13,6,0)) + IF(E34&lt;9,10,IF(E34&lt;=13,5,0))))</f>
        <v>—</v>
      </c>
      <c r="I34" s="112" t="str">
        <f aca="false">IF(OR(E34="",G34=""),"—",MIN(100, IF(E34&gt;=18,48,IF(E34&gt;=14,36,IF(E34&gt;=9,20,5))) + IF(G34&gt;=14,28,IF(G34&gt;=9,18,8)) + IF(D34&lt;9,12,IF(D34&lt;=13,6,0)) + IF(F34&lt;=13,12,IF(F34&lt;=17,6,0))))</f>
        <v>—</v>
      </c>
      <c r="J34" s="112" t="str">
        <f aca="false">IF(OR(D34="",G34=""),"—",MIN(100, IF(D34&gt;=18,48,IF(D34&gt;=14,36,IF(D34&gt;=9,20,5))) + IF(G34&gt;=14,30,IF(G34&gt;=9,18,8)) + IF(E34&lt;9,12,IF(E34&lt;=13,6,0)) + IF(F34&lt;=13,10,IF(F34&lt;=17,5,0))))</f>
        <v>—</v>
      </c>
      <c r="K34" s="112" t="str">
        <f aca="false">IF(OR(G34="",D34=""),"—",MIN(100, IF(G34&gt;=18,50,IF(G34&gt;=14,38,IF(G34&gt;=9,20,5))) + IF(D34&gt;=14,28,IF(D34&gt;=9,18,8)) + IF(F34&lt;9,12,IF(F34&lt;=13,6,0)) + IF(E34&lt;9,10,IF(E34&lt;=13,5,0))))</f>
        <v>—</v>
      </c>
      <c r="L34" s="115" t="str">
        <f aca="false">IF(OR(H34="—",I34="—"),"Isi skor dulu",IF(MAX(H34,I34,J34,K34)=H34,"⚖️ Legal Officer",IF(MAX(H34,I34,J34,K34)=I34,"🎧 Customer Care/CRM",IF(MAX(H34,I34,J34,K34)=J34,"🎯 PLA Closing","📣 Marketing"))))</f>
        <v>Isi skor dulu</v>
      </c>
    </row>
    <row r="35" customFormat="false" ht="24" hidden="false" customHeight="true" outlineLevel="0" collapsed="false">
      <c r="A35" s="94" t="n">
        <v>25</v>
      </c>
      <c r="B35" s="95" t="n">
        <f aca="false">'📥 Input Skor GForm'!B36</f>
        <v>0</v>
      </c>
      <c r="C35" s="96" t="n">
        <f aca="false">'📥 Input Skor GForm'!C36</f>
        <v>0</v>
      </c>
      <c r="D35" s="111" t="n">
        <f aca="false">'📥 Input Skor GForm'!D36</f>
        <v>0</v>
      </c>
      <c r="E35" s="111" t="n">
        <f aca="false">'📥 Input Skor GForm'!E36</f>
        <v>0</v>
      </c>
      <c r="F35" s="111" t="n">
        <f aca="false">'📥 Input Skor GForm'!F36</f>
        <v>0</v>
      </c>
      <c r="G35" s="111" t="n">
        <f aca="false">'📥 Input Skor GForm'!G36</f>
        <v>0</v>
      </c>
      <c r="H35" s="112" t="str">
        <f aca="false">IF(OR(D35="",F35=""),"—",MIN(100, IF(F35&gt;=18,50,IF(F35&gt;=14,38,IF(F35&gt;=9,20,5))) + IF(D35&gt;=14,28,IF(D35&gt;=9,18,8)) + IF(G35&lt;9,12,IF(G35&lt;=13,6,0)) + IF(E35&lt;9,10,IF(E35&lt;=13,5,0))))</f>
        <v>—</v>
      </c>
      <c r="I35" s="112" t="str">
        <f aca="false">IF(OR(E35="",G35=""),"—",MIN(100, IF(E35&gt;=18,48,IF(E35&gt;=14,36,IF(E35&gt;=9,20,5))) + IF(G35&gt;=14,28,IF(G35&gt;=9,18,8)) + IF(D35&lt;9,12,IF(D35&lt;=13,6,0)) + IF(F35&lt;=13,12,IF(F35&lt;=17,6,0))))</f>
        <v>—</v>
      </c>
      <c r="J35" s="112" t="str">
        <f aca="false">IF(OR(D35="",G35=""),"—",MIN(100, IF(D35&gt;=18,48,IF(D35&gt;=14,36,IF(D35&gt;=9,20,5))) + IF(G35&gt;=14,30,IF(G35&gt;=9,18,8)) + IF(E35&lt;9,12,IF(E35&lt;=13,6,0)) + IF(F35&lt;=13,10,IF(F35&lt;=17,5,0))))</f>
        <v>—</v>
      </c>
      <c r="K35" s="112" t="str">
        <f aca="false">IF(OR(G35="",D35=""),"—",MIN(100, IF(G35&gt;=18,50,IF(G35&gt;=14,38,IF(G35&gt;=9,20,5))) + IF(D35&gt;=14,28,IF(D35&gt;=9,18,8)) + IF(F35&lt;9,12,IF(F35&lt;=13,6,0)) + IF(E35&lt;9,10,IF(E35&lt;=13,5,0))))</f>
        <v>—</v>
      </c>
      <c r="L35" s="113" t="str">
        <f aca="false">IF(OR(H35="—",I35="—"),"Isi skor dulu",IF(MAX(H35,I35,J35,K35)=H35,"⚖️ Legal Officer",IF(MAX(H35,I35,J35,K35)=I35,"🎧 Customer Care/CRM",IF(MAX(H35,I35,J35,K35)=J35,"🎯 PLA Closing","📣 Marketing"))))</f>
        <v>Isi skor dulu</v>
      </c>
    </row>
    <row r="36" customFormat="false" ht="24" hidden="false" customHeight="true" outlineLevel="0" collapsed="false">
      <c r="A36" s="94" t="n">
        <v>26</v>
      </c>
      <c r="B36" s="102" t="n">
        <f aca="false">'📥 Input Skor GForm'!B37</f>
        <v>0</v>
      </c>
      <c r="C36" s="103" t="n">
        <f aca="false">'📥 Input Skor GForm'!C37</f>
        <v>0</v>
      </c>
      <c r="D36" s="114" t="n">
        <f aca="false">'📥 Input Skor GForm'!D37</f>
        <v>0</v>
      </c>
      <c r="E36" s="114" t="n">
        <f aca="false">'📥 Input Skor GForm'!E37</f>
        <v>0</v>
      </c>
      <c r="F36" s="114" t="n">
        <f aca="false">'📥 Input Skor GForm'!F37</f>
        <v>0</v>
      </c>
      <c r="G36" s="114" t="n">
        <f aca="false">'📥 Input Skor GForm'!G37</f>
        <v>0</v>
      </c>
      <c r="H36" s="112" t="str">
        <f aca="false">IF(OR(D36="",F36=""),"—",MIN(100, IF(F36&gt;=18,50,IF(F36&gt;=14,38,IF(F36&gt;=9,20,5))) + IF(D36&gt;=14,28,IF(D36&gt;=9,18,8)) + IF(G36&lt;9,12,IF(G36&lt;=13,6,0)) + IF(E36&lt;9,10,IF(E36&lt;=13,5,0))))</f>
        <v>—</v>
      </c>
      <c r="I36" s="112" t="str">
        <f aca="false">IF(OR(E36="",G36=""),"—",MIN(100, IF(E36&gt;=18,48,IF(E36&gt;=14,36,IF(E36&gt;=9,20,5))) + IF(G36&gt;=14,28,IF(G36&gt;=9,18,8)) + IF(D36&lt;9,12,IF(D36&lt;=13,6,0)) + IF(F36&lt;=13,12,IF(F36&lt;=17,6,0))))</f>
        <v>—</v>
      </c>
      <c r="J36" s="112" t="str">
        <f aca="false">IF(OR(D36="",G36=""),"—",MIN(100, IF(D36&gt;=18,48,IF(D36&gt;=14,36,IF(D36&gt;=9,20,5))) + IF(G36&gt;=14,30,IF(G36&gt;=9,18,8)) + IF(E36&lt;9,12,IF(E36&lt;=13,6,0)) + IF(F36&lt;=13,10,IF(F36&lt;=17,5,0))))</f>
        <v>—</v>
      </c>
      <c r="K36" s="112" t="str">
        <f aca="false">IF(OR(G36="",D36=""),"—",MIN(100, IF(G36&gt;=18,50,IF(G36&gt;=14,38,IF(G36&gt;=9,20,5))) + IF(D36&gt;=14,28,IF(D36&gt;=9,18,8)) + IF(F36&lt;9,12,IF(F36&lt;=13,6,0)) + IF(E36&lt;9,10,IF(E36&lt;=13,5,0))))</f>
        <v>—</v>
      </c>
      <c r="L36" s="115" t="str">
        <f aca="false">IF(OR(H36="—",I36="—"),"Isi skor dulu",IF(MAX(H36,I36,J36,K36)=H36,"⚖️ Legal Officer",IF(MAX(H36,I36,J36,K36)=I36,"🎧 Customer Care/CRM",IF(MAX(H36,I36,J36,K36)=J36,"🎯 PLA Closing","📣 Marketing"))))</f>
        <v>Isi skor dulu</v>
      </c>
    </row>
    <row r="37" customFormat="false" ht="24" hidden="false" customHeight="true" outlineLevel="0" collapsed="false">
      <c r="A37" s="94" t="n">
        <v>27</v>
      </c>
      <c r="B37" s="95" t="n">
        <f aca="false">'📥 Input Skor GForm'!B38</f>
        <v>0</v>
      </c>
      <c r="C37" s="96" t="n">
        <f aca="false">'📥 Input Skor GForm'!C38</f>
        <v>0</v>
      </c>
      <c r="D37" s="111" t="n">
        <f aca="false">'📥 Input Skor GForm'!D38</f>
        <v>0</v>
      </c>
      <c r="E37" s="111" t="n">
        <f aca="false">'📥 Input Skor GForm'!E38</f>
        <v>0</v>
      </c>
      <c r="F37" s="111" t="n">
        <f aca="false">'📥 Input Skor GForm'!F38</f>
        <v>0</v>
      </c>
      <c r="G37" s="111" t="n">
        <f aca="false">'📥 Input Skor GForm'!G38</f>
        <v>0</v>
      </c>
      <c r="H37" s="112" t="str">
        <f aca="false">IF(OR(D37="",F37=""),"—",MIN(100, IF(F37&gt;=18,50,IF(F37&gt;=14,38,IF(F37&gt;=9,20,5))) + IF(D37&gt;=14,28,IF(D37&gt;=9,18,8)) + IF(G37&lt;9,12,IF(G37&lt;=13,6,0)) + IF(E37&lt;9,10,IF(E37&lt;=13,5,0))))</f>
        <v>—</v>
      </c>
      <c r="I37" s="112" t="str">
        <f aca="false">IF(OR(E37="",G37=""),"—",MIN(100, IF(E37&gt;=18,48,IF(E37&gt;=14,36,IF(E37&gt;=9,20,5))) + IF(G37&gt;=14,28,IF(G37&gt;=9,18,8)) + IF(D37&lt;9,12,IF(D37&lt;=13,6,0)) + IF(F37&lt;=13,12,IF(F37&lt;=17,6,0))))</f>
        <v>—</v>
      </c>
      <c r="J37" s="112" t="str">
        <f aca="false">IF(OR(D37="",G37=""),"—",MIN(100, IF(D37&gt;=18,48,IF(D37&gt;=14,36,IF(D37&gt;=9,20,5))) + IF(G37&gt;=14,30,IF(G37&gt;=9,18,8)) + IF(E37&lt;9,12,IF(E37&lt;=13,6,0)) + IF(F37&lt;=13,10,IF(F37&lt;=17,5,0))))</f>
        <v>—</v>
      </c>
      <c r="K37" s="112" t="str">
        <f aca="false">IF(OR(G37="",D37=""),"—",MIN(100, IF(G37&gt;=18,50,IF(G37&gt;=14,38,IF(G37&gt;=9,20,5))) + IF(D37&gt;=14,28,IF(D37&gt;=9,18,8)) + IF(F37&lt;9,12,IF(F37&lt;=13,6,0)) + IF(E37&lt;9,10,IF(E37&lt;=13,5,0))))</f>
        <v>—</v>
      </c>
      <c r="L37" s="113" t="str">
        <f aca="false">IF(OR(H37="—",I37="—"),"Isi skor dulu",IF(MAX(H37,I37,J37,K37)=H37,"⚖️ Legal Officer",IF(MAX(H37,I37,J37,K37)=I37,"🎧 Customer Care/CRM",IF(MAX(H37,I37,J37,K37)=J37,"🎯 PLA Closing","📣 Marketing"))))</f>
        <v>Isi skor dulu</v>
      </c>
    </row>
    <row r="38" customFormat="false" ht="24" hidden="false" customHeight="true" outlineLevel="0" collapsed="false">
      <c r="A38" s="94" t="n">
        <v>28</v>
      </c>
      <c r="B38" s="102" t="n">
        <f aca="false">'📥 Input Skor GForm'!B39</f>
        <v>0</v>
      </c>
      <c r="C38" s="103" t="n">
        <f aca="false">'📥 Input Skor GForm'!C39</f>
        <v>0</v>
      </c>
      <c r="D38" s="114" t="n">
        <f aca="false">'📥 Input Skor GForm'!D39</f>
        <v>0</v>
      </c>
      <c r="E38" s="114" t="n">
        <f aca="false">'📥 Input Skor GForm'!E39</f>
        <v>0</v>
      </c>
      <c r="F38" s="114" t="n">
        <f aca="false">'📥 Input Skor GForm'!F39</f>
        <v>0</v>
      </c>
      <c r="G38" s="114" t="n">
        <f aca="false">'📥 Input Skor GForm'!G39</f>
        <v>0</v>
      </c>
      <c r="H38" s="112" t="str">
        <f aca="false">IF(OR(D38="",F38=""),"—",MIN(100, IF(F38&gt;=18,50,IF(F38&gt;=14,38,IF(F38&gt;=9,20,5))) + IF(D38&gt;=14,28,IF(D38&gt;=9,18,8)) + IF(G38&lt;9,12,IF(G38&lt;=13,6,0)) + IF(E38&lt;9,10,IF(E38&lt;=13,5,0))))</f>
        <v>—</v>
      </c>
      <c r="I38" s="112" t="str">
        <f aca="false">IF(OR(E38="",G38=""),"—",MIN(100, IF(E38&gt;=18,48,IF(E38&gt;=14,36,IF(E38&gt;=9,20,5))) + IF(G38&gt;=14,28,IF(G38&gt;=9,18,8)) + IF(D38&lt;9,12,IF(D38&lt;=13,6,0)) + IF(F38&lt;=13,12,IF(F38&lt;=17,6,0))))</f>
        <v>—</v>
      </c>
      <c r="J38" s="112" t="str">
        <f aca="false">IF(OR(D38="",G38=""),"—",MIN(100, IF(D38&gt;=18,48,IF(D38&gt;=14,36,IF(D38&gt;=9,20,5))) + IF(G38&gt;=14,30,IF(G38&gt;=9,18,8)) + IF(E38&lt;9,12,IF(E38&lt;=13,6,0)) + IF(F38&lt;=13,10,IF(F38&lt;=17,5,0))))</f>
        <v>—</v>
      </c>
      <c r="K38" s="112" t="str">
        <f aca="false">IF(OR(G38="",D38=""),"—",MIN(100, IF(G38&gt;=18,50,IF(G38&gt;=14,38,IF(G38&gt;=9,20,5))) + IF(D38&gt;=14,28,IF(D38&gt;=9,18,8)) + IF(F38&lt;9,12,IF(F38&lt;=13,6,0)) + IF(E38&lt;9,10,IF(E38&lt;=13,5,0))))</f>
        <v>—</v>
      </c>
      <c r="L38" s="115" t="str">
        <f aca="false">IF(OR(H38="—",I38="—"),"Isi skor dulu",IF(MAX(H38,I38,J38,K38)=H38,"⚖️ Legal Officer",IF(MAX(H38,I38,J38,K38)=I38,"🎧 Customer Care/CRM",IF(MAX(H38,I38,J38,K38)=J38,"🎯 PLA Closing","📣 Marketing"))))</f>
        <v>Isi skor dulu</v>
      </c>
    </row>
    <row r="39" customFormat="false" ht="24" hidden="false" customHeight="true" outlineLevel="0" collapsed="false">
      <c r="A39" s="94" t="n">
        <v>29</v>
      </c>
      <c r="B39" s="95" t="n">
        <f aca="false">'📥 Input Skor GForm'!B40</f>
        <v>0</v>
      </c>
      <c r="C39" s="96" t="n">
        <f aca="false">'📥 Input Skor GForm'!C40</f>
        <v>0</v>
      </c>
      <c r="D39" s="111" t="n">
        <f aca="false">'📥 Input Skor GForm'!D40</f>
        <v>0</v>
      </c>
      <c r="E39" s="111" t="n">
        <f aca="false">'📥 Input Skor GForm'!E40</f>
        <v>0</v>
      </c>
      <c r="F39" s="111" t="n">
        <f aca="false">'📥 Input Skor GForm'!F40</f>
        <v>0</v>
      </c>
      <c r="G39" s="111" t="n">
        <f aca="false">'📥 Input Skor GForm'!G40</f>
        <v>0</v>
      </c>
      <c r="H39" s="112" t="str">
        <f aca="false">IF(OR(D39="",F39=""),"—",MIN(100, IF(F39&gt;=18,50,IF(F39&gt;=14,38,IF(F39&gt;=9,20,5))) + IF(D39&gt;=14,28,IF(D39&gt;=9,18,8)) + IF(G39&lt;9,12,IF(G39&lt;=13,6,0)) + IF(E39&lt;9,10,IF(E39&lt;=13,5,0))))</f>
        <v>—</v>
      </c>
      <c r="I39" s="112" t="str">
        <f aca="false">IF(OR(E39="",G39=""),"—",MIN(100, IF(E39&gt;=18,48,IF(E39&gt;=14,36,IF(E39&gt;=9,20,5))) + IF(G39&gt;=14,28,IF(G39&gt;=9,18,8)) + IF(D39&lt;9,12,IF(D39&lt;=13,6,0)) + IF(F39&lt;=13,12,IF(F39&lt;=17,6,0))))</f>
        <v>—</v>
      </c>
      <c r="J39" s="112" t="str">
        <f aca="false">IF(OR(D39="",G39=""),"—",MIN(100, IF(D39&gt;=18,48,IF(D39&gt;=14,36,IF(D39&gt;=9,20,5))) + IF(G39&gt;=14,30,IF(G39&gt;=9,18,8)) + IF(E39&lt;9,12,IF(E39&lt;=13,6,0)) + IF(F39&lt;=13,10,IF(F39&lt;=17,5,0))))</f>
        <v>—</v>
      </c>
      <c r="K39" s="112" t="str">
        <f aca="false">IF(OR(G39="",D39=""),"—",MIN(100, IF(G39&gt;=18,50,IF(G39&gt;=14,38,IF(G39&gt;=9,20,5))) + IF(D39&gt;=14,28,IF(D39&gt;=9,18,8)) + IF(F39&lt;9,12,IF(F39&lt;=13,6,0)) + IF(E39&lt;9,10,IF(E39&lt;=13,5,0))))</f>
        <v>—</v>
      </c>
      <c r="L39" s="113" t="str">
        <f aca="false">IF(OR(H39="—",I39="—"),"Isi skor dulu",IF(MAX(H39,I39,J39,K39)=H39,"⚖️ Legal Officer",IF(MAX(H39,I39,J39,K39)=I39,"🎧 Customer Care/CRM",IF(MAX(H39,I39,J39,K39)=J39,"🎯 PLA Closing","📣 Marketing"))))</f>
        <v>Isi skor dulu</v>
      </c>
    </row>
    <row r="40" customFormat="false" ht="24" hidden="false" customHeight="true" outlineLevel="0" collapsed="false">
      <c r="A40" s="94" t="n">
        <v>30</v>
      </c>
      <c r="B40" s="102" t="n">
        <f aca="false">'📥 Input Skor GForm'!B41</f>
        <v>0</v>
      </c>
      <c r="C40" s="103" t="n">
        <f aca="false">'📥 Input Skor GForm'!C41</f>
        <v>0</v>
      </c>
      <c r="D40" s="114" t="n">
        <f aca="false">'📥 Input Skor GForm'!D41</f>
        <v>0</v>
      </c>
      <c r="E40" s="114" t="n">
        <f aca="false">'📥 Input Skor GForm'!E41</f>
        <v>0</v>
      </c>
      <c r="F40" s="114" t="n">
        <f aca="false">'📥 Input Skor GForm'!F41</f>
        <v>0</v>
      </c>
      <c r="G40" s="114" t="n">
        <f aca="false">'📥 Input Skor GForm'!G41</f>
        <v>0</v>
      </c>
      <c r="H40" s="112" t="str">
        <f aca="false">IF(OR(D40="",F40=""),"—",MIN(100, IF(F40&gt;=18,50,IF(F40&gt;=14,38,IF(F40&gt;=9,20,5))) + IF(D40&gt;=14,28,IF(D40&gt;=9,18,8)) + IF(G40&lt;9,12,IF(G40&lt;=13,6,0)) + IF(E40&lt;9,10,IF(E40&lt;=13,5,0))))</f>
        <v>—</v>
      </c>
      <c r="I40" s="112" t="str">
        <f aca="false">IF(OR(E40="",G40=""),"—",MIN(100, IF(E40&gt;=18,48,IF(E40&gt;=14,36,IF(E40&gt;=9,20,5))) + IF(G40&gt;=14,28,IF(G40&gt;=9,18,8)) + IF(D40&lt;9,12,IF(D40&lt;=13,6,0)) + IF(F40&lt;=13,12,IF(F40&lt;=17,6,0))))</f>
        <v>—</v>
      </c>
      <c r="J40" s="112" t="str">
        <f aca="false">IF(OR(D40="",G40=""),"—",MIN(100, IF(D40&gt;=18,48,IF(D40&gt;=14,36,IF(D40&gt;=9,20,5))) + IF(G40&gt;=14,30,IF(G40&gt;=9,18,8)) + IF(E40&lt;9,12,IF(E40&lt;=13,6,0)) + IF(F40&lt;=13,10,IF(F40&lt;=17,5,0))))</f>
        <v>—</v>
      </c>
      <c r="K40" s="112" t="str">
        <f aca="false">IF(OR(G40="",D40=""),"—",MIN(100, IF(G40&gt;=18,50,IF(G40&gt;=14,38,IF(G40&gt;=9,20,5))) + IF(D40&gt;=14,28,IF(D40&gt;=9,18,8)) + IF(F40&lt;9,12,IF(F40&lt;=13,6,0)) + IF(E40&lt;9,10,IF(E40&lt;=13,5,0))))</f>
        <v>—</v>
      </c>
      <c r="L40" s="115" t="str">
        <f aca="false">IF(OR(H40="—",I40="—"),"Isi skor dulu",IF(MAX(H40,I40,J40,K40)=H40,"⚖️ Legal Officer",IF(MAX(H40,I40,J40,K40)=I40,"🎧 Customer Care/CRM",IF(MAX(H40,I40,J40,K40)=J40,"🎯 PLA Closing","📣 Marketing"))))</f>
        <v>Isi skor dulu</v>
      </c>
    </row>
  </sheetData>
  <mergeCells count="11">
    <mergeCell ref="A1:M1"/>
    <mergeCell ref="A2:M2"/>
    <mergeCell ref="A4:M4"/>
    <mergeCell ref="A5:B5"/>
    <mergeCell ref="C5:M5"/>
    <mergeCell ref="A6:B6"/>
    <mergeCell ref="C6:M6"/>
    <mergeCell ref="A7:B7"/>
    <mergeCell ref="C7:M7"/>
    <mergeCell ref="A8:B8"/>
    <mergeCell ref="C8: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45"/>
    <col collapsed="false" customWidth="true" hidden="false" outlineLevel="0" max="5" min="5" style="0" width="3"/>
  </cols>
  <sheetData>
    <row r="1" customFormat="false" ht="49.5" hidden="false" customHeight="true" outlineLevel="0" collapsed="false">
      <c r="B1" s="116" t="s">
        <v>316</v>
      </c>
      <c r="C1" s="116"/>
      <c r="D1" s="116"/>
    </row>
    <row r="2" customFormat="false" ht="24.75" hidden="false" customHeight="true" outlineLevel="0" collapsed="false">
      <c r="B2" s="86" t="s">
        <v>317</v>
      </c>
      <c r="C2" s="86"/>
      <c r="D2" s="86"/>
    </row>
    <row r="4" customFormat="false" ht="31.5" hidden="false" customHeight="true" outlineLevel="0" collapsed="false">
      <c r="B4" s="117" t="s">
        <v>318</v>
      </c>
      <c r="C4" s="117"/>
      <c r="D4" s="117"/>
    </row>
    <row r="5" customFormat="false" ht="24.75" hidden="false" customHeight="true" outlineLevel="0" collapsed="false">
      <c r="B5" s="19" t="s">
        <v>265</v>
      </c>
      <c r="C5" s="19" t="s">
        <v>319</v>
      </c>
      <c r="D5" s="19" t="s">
        <v>320</v>
      </c>
    </row>
    <row r="6" customFormat="false" ht="34.5" hidden="false" customHeight="true" outlineLevel="0" collapsed="false">
      <c r="B6" s="118" t="s">
        <v>321</v>
      </c>
      <c r="C6" s="119" t="s">
        <v>267</v>
      </c>
      <c r="D6" s="107" t="s">
        <v>322</v>
      </c>
    </row>
    <row r="7" customFormat="false" ht="34.5" hidden="false" customHeight="true" outlineLevel="0" collapsed="false">
      <c r="B7" s="120" t="s">
        <v>323</v>
      </c>
      <c r="C7" s="121" t="s">
        <v>324</v>
      </c>
      <c r="D7" s="122" t="s">
        <v>325</v>
      </c>
    </row>
    <row r="8" customFormat="false" ht="34.5" hidden="false" customHeight="true" outlineLevel="0" collapsed="false">
      <c r="B8" s="118" t="s">
        <v>326</v>
      </c>
      <c r="C8" s="119" t="s">
        <v>327</v>
      </c>
      <c r="D8" s="107" t="s">
        <v>328</v>
      </c>
    </row>
    <row r="9" customFormat="false" ht="34.5" hidden="false" customHeight="true" outlineLevel="0" collapsed="false">
      <c r="B9" s="120" t="s">
        <v>329</v>
      </c>
      <c r="C9" s="121" t="s">
        <v>330</v>
      </c>
      <c r="D9" s="122" t="s">
        <v>331</v>
      </c>
    </row>
    <row r="11" customFormat="false" ht="31.5" hidden="false" customHeight="true" outlineLevel="0" collapsed="false">
      <c r="B11" s="123" t="s">
        <v>332</v>
      </c>
      <c r="C11" s="123"/>
      <c r="D11" s="123"/>
    </row>
    <row r="12" customFormat="false" ht="24.75" hidden="false" customHeight="true" outlineLevel="0" collapsed="false">
      <c r="B12" s="19" t="s">
        <v>265</v>
      </c>
      <c r="C12" s="19" t="s">
        <v>319</v>
      </c>
      <c r="D12" s="19" t="s">
        <v>320</v>
      </c>
    </row>
    <row r="13" customFormat="false" ht="34.5" hidden="false" customHeight="true" outlineLevel="0" collapsed="false">
      <c r="B13" s="118" t="s">
        <v>321</v>
      </c>
      <c r="C13" s="119" t="s">
        <v>267</v>
      </c>
      <c r="D13" s="107" t="s">
        <v>333</v>
      </c>
    </row>
    <row r="14" customFormat="false" ht="34.5" hidden="false" customHeight="true" outlineLevel="0" collapsed="false">
      <c r="B14" s="120" t="s">
        <v>323</v>
      </c>
      <c r="C14" s="121" t="s">
        <v>324</v>
      </c>
      <c r="D14" s="122" t="s">
        <v>334</v>
      </c>
    </row>
    <row r="15" customFormat="false" ht="34.5" hidden="false" customHeight="true" outlineLevel="0" collapsed="false">
      <c r="B15" s="118" t="s">
        <v>326</v>
      </c>
      <c r="C15" s="119" t="s">
        <v>327</v>
      </c>
      <c r="D15" s="107" t="s">
        <v>335</v>
      </c>
    </row>
    <row r="16" customFormat="false" ht="34.5" hidden="false" customHeight="true" outlineLevel="0" collapsed="false">
      <c r="B16" s="120" t="s">
        <v>329</v>
      </c>
      <c r="C16" s="121" t="s">
        <v>330</v>
      </c>
      <c r="D16" s="122" t="s">
        <v>336</v>
      </c>
    </row>
    <row r="18" customFormat="false" ht="31.5" hidden="false" customHeight="true" outlineLevel="0" collapsed="false">
      <c r="B18" s="124" t="s">
        <v>337</v>
      </c>
      <c r="C18" s="124"/>
      <c r="D18" s="124"/>
    </row>
    <row r="19" customFormat="false" ht="24.75" hidden="false" customHeight="true" outlineLevel="0" collapsed="false">
      <c r="B19" s="19" t="s">
        <v>265</v>
      </c>
      <c r="C19" s="19" t="s">
        <v>319</v>
      </c>
      <c r="D19" s="19" t="s">
        <v>320</v>
      </c>
    </row>
    <row r="20" customFormat="false" ht="34.5" hidden="false" customHeight="true" outlineLevel="0" collapsed="false">
      <c r="B20" s="118" t="s">
        <v>321</v>
      </c>
      <c r="C20" s="119" t="s">
        <v>267</v>
      </c>
      <c r="D20" s="107" t="s">
        <v>338</v>
      </c>
    </row>
    <row r="21" customFormat="false" ht="34.5" hidden="false" customHeight="true" outlineLevel="0" collapsed="false">
      <c r="B21" s="120" t="s">
        <v>323</v>
      </c>
      <c r="C21" s="121" t="s">
        <v>324</v>
      </c>
      <c r="D21" s="122" t="s">
        <v>339</v>
      </c>
    </row>
    <row r="22" customFormat="false" ht="34.5" hidden="false" customHeight="true" outlineLevel="0" collapsed="false">
      <c r="B22" s="118" t="s">
        <v>326</v>
      </c>
      <c r="C22" s="119" t="s">
        <v>327</v>
      </c>
      <c r="D22" s="107" t="s">
        <v>340</v>
      </c>
    </row>
    <row r="23" customFormat="false" ht="34.5" hidden="false" customHeight="true" outlineLevel="0" collapsed="false">
      <c r="B23" s="120" t="s">
        <v>329</v>
      </c>
      <c r="C23" s="121" t="s">
        <v>330</v>
      </c>
      <c r="D23" s="122" t="s">
        <v>341</v>
      </c>
    </row>
    <row r="25" customFormat="false" ht="31.5" hidden="false" customHeight="true" outlineLevel="0" collapsed="false">
      <c r="B25" s="125" t="s">
        <v>342</v>
      </c>
      <c r="C25" s="125"/>
      <c r="D25" s="125"/>
    </row>
    <row r="26" customFormat="false" ht="24.75" hidden="false" customHeight="true" outlineLevel="0" collapsed="false">
      <c r="B26" s="19" t="s">
        <v>265</v>
      </c>
      <c r="C26" s="19" t="s">
        <v>319</v>
      </c>
      <c r="D26" s="19" t="s">
        <v>320</v>
      </c>
    </row>
    <row r="27" customFormat="false" ht="34.5" hidden="false" customHeight="true" outlineLevel="0" collapsed="false">
      <c r="B27" s="118" t="s">
        <v>321</v>
      </c>
      <c r="C27" s="119" t="s">
        <v>267</v>
      </c>
      <c r="D27" s="107" t="s">
        <v>343</v>
      </c>
    </row>
    <row r="28" customFormat="false" ht="34.5" hidden="false" customHeight="true" outlineLevel="0" collapsed="false">
      <c r="B28" s="120" t="s">
        <v>323</v>
      </c>
      <c r="C28" s="121" t="s">
        <v>324</v>
      </c>
      <c r="D28" s="122" t="s">
        <v>344</v>
      </c>
    </row>
    <row r="29" customFormat="false" ht="34.5" hidden="false" customHeight="true" outlineLevel="0" collapsed="false">
      <c r="B29" s="118" t="s">
        <v>326</v>
      </c>
      <c r="C29" s="119" t="s">
        <v>327</v>
      </c>
      <c r="D29" s="107" t="s">
        <v>345</v>
      </c>
    </row>
    <row r="30" customFormat="false" ht="34.5" hidden="false" customHeight="true" outlineLevel="0" collapsed="false">
      <c r="B30" s="120" t="s">
        <v>329</v>
      </c>
      <c r="C30" s="121" t="s">
        <v>330</v>
      </c>
      <c r="D30" s="122" t="s">
        <v>346</v>
      </c>
    </row>
    <row r="32" customFormat="false" ht="34.5" hidden="false" customHeight="true" outlineLevel="0" collapsed="false">
      <c r="B32" s="126" t="s">
        <v>347</v>
      </c>
      <c r="C32" s="126"/>
      <c r="D32" s="126"/>
    </row>
  </sheetData>
  <mergeCells count="7">
    <mergeCell ref="B1:D1"/>
    <mergeCell ref="B2:D2"/>
    <mergeCell ref="B4:D4"/>
    <mergeCell ref="B11:D11"/>
    <mergeCell ref="B18:D18"/>
    <mergeCell ref="B25:D25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2026-05-18T03:06:56Z</dcterms:created>
  <dc:creator>openpyxl</dc:creator>
  <dc:description/>
  <dc:language>en-US</dc:language>
  <cp:lastModifiedBy/>
  <dcterms:modified xsi:type="dcterms:W3CDTF">2026-05-18T03:31:36Z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